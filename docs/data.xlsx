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ico Spese Forniti" sheetId="1" r:id="rId4"/>
    <sheet state="visible" name="Spese Ricorrenti - Attuale" sheetId="2" r:id="rId5"/>
    <sheet state="visible" name="Spese Ricorrenti - Proposta" sheetId="3" r:id="rId6"/>
    <sheet state="visible" name="Proposte Progetti" sheetId="4" r:id="rId7"/>
    <sheet state="visible" name="Ipotesi - Microsoft 365" sheetId="5" r:id="rId8"/>
  </sheets>
  <definedNames>
    <definedName hidden="1" localSheetId="1" name="_xlnm._FilterDatabase">'Spese Ricorrenti - Attuale'!$B$1:$K$28</definedName>
    <definedName hidden="1" localSheetId="2" name="_xlnm._FilterDatabase">'Spese Ricorrenti - Proposta'!$B$1:$K$30</definedName>
    <definedName hidden="1" localSheetId="3" name="_xlnm._FilterDatabase">'Proposte Progetti'!$B$1:$I$14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Usufruito del Voucher Imprese dal 2022</t>
      </text>
    </comment>
    <comment authorId="0" ref="F10">
      <text>
        <t xml:space="preserve">C'è l'acquisto di 2517,27€ per il mobilio dell'ufficio di antonio
	-Fabio Capocefalo</t>
      </text>
    </comment>
    <comment authorId="0" ref="B31">
      <text>
        <t xml:space="preserve">App 3cx fondamentale
	-Fabio Capocefalo</t>
      </text>
    </comment>
    <comment authorId="0" ref="B10">
      <text>
        <t xml:space="preserve">La stampante è 1, sono fuori perchè stampano tanto.
	-Fabio Capocefalo</t>
      </text>
    </comment>
    <comment authorId="0" ref="B8">
      <text>
        <t xml:space="preserve">Utilizzato per l'invio delle bozze ai clienti. C'è una cosa simile su Esko ma è pagamento. Lo utilizzano da 10 anni...
	-Fabio Capocefalo</t>
      </text>
    </comment>
    <comment authorId="0" ref="B17">
      <text>
        <t xml:space="preserve">Trend in aumento, perchè?
	-Fabio Capocefalo
Credisafe non era performante al 100%, ha aumentato i costi, e sono passati a Cerved = 2850€/anno
	-Fabio Capocefalo</t>
      </text>
    </comment>
    <comment authorId="0" ref="A1">
      <text>
        <t xml:space="preserve">Da passare su Mailstore
	-Fabio Capocefalo</t>
      </text>
    </comment>
    <comment authorId="0" ref="B25">
      <text>
        <t xml:space="preserve">Se si trovano bene, vediamo come integrarci
	-Fabio Capocefalo
Ben disposti verso un passaggio a bitwarden solo interno azienda
	-Fabio Capocefalo</t>
      </text>
    </comment>
    <comment authorId="0" ref="B24">
      <text>
        <t xml:space="preserve">Da capire utilità e alternative
	-Fabio Capocefalo
Hanno creato un modulo ordine, come se fosse un app, e la usano gli agenti, il piano è annuale.
	-Fabio Capocefalo
Costo annuale di 39€/mese
	-Fabio Capocefalo</t>
      </text>
    </comment>
    <comment authorId="0" ref="B21">
      <text>
        <t xml:space="preserve">Probabilmente black box
	-Fabio Capocefalo
24k€/anno, scontata al 50% per i primi 4 quadrimestri. Da capire meglio
	-Fabio Capocefalo</t>
      </text>
    </comment>
    <comment authorId="0" ref="B20">
      <text>
        <t xml:space="preserve">al momento black box
	-Fabio Capocefalo
Canone annuale di 1000€/anno
	-Fabio Capocefalo</t>
      </text>
    </comment>
    <comment authorId="0" ref="B18">
      <text>
        <t xml:space="preserve">Spero sia stato disattivato nel 2025...
	-Fabio Capocefalo
Si, dismesso.
	-Fabio Capocefalo</t>
      </text>
    </comment>
    <comment authorId="0" ref="B15">
      <text>
        <t xml:space="preserve">Come sopra, black box
	-Fabio Capocefalo</t>
      </text>
    </comment>
    <comment authorId="0" ref="B12">
      <text>
        <t xml:space="preserve">Merita un'approfondimento, ma al momento la considero una black box
	-Fabio Capocefalo
Verrà fatturato da Softdigital, per la ricezione e l'archiviazione.
	-Fabio Capocefalo</t>
      </text>
    </comment>
    <comment authorId="0" ref="B9">
      <text>
        <t xml:space="preserve">Per Esko, non è chiaro come funzioni, è un pagamento annuale? Hanno sottoscritto l'assistenza?
	-Fabio Capocefalo
Acquistato a settembre 2023, pagato primo acconto, poi secondo acconto con il supporto.  Quindi supporto attivo a 5000€/anno, stanno valutando di espandere con automation engine (cloud) costo anno di 14k€/anno.
	-Fabio Capocefalo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">
      <text>
        <t xml:space="preserve">Sono 6 Server Windows e 1x Linux per 24mesi
	-Fabio Capocefalo</t>
      </text>
    </comment>
  </commentList>
</comments>
</file>

<file path=xl/sharedStrings.xml><?xml version="1.0" encoding="utf-8"?>
<sst xmlns="http://schemas.openxmlformats.org/spreadsheetml/2006/main" count="441" uniqueCount="179">
  <si>
    <t xml:space="preserve"> </t>
  </si>
  <si>
    <t>Note</t>
  </si>
  <si>
    <t>IMPORTO</t>
  </si>
  <si>
    <t>RIF. FT.</t>
  </si>
  <si>
    <t xml:space="preserve">TELEFONIA E INTERNET </t>
  </si>
  <si>
    <t>Dimensione</t>
  </si>
  <si>
    <t>Contratto Internet
* ad aprile fine bonus
voucher imprese, canone attuale €55,38</t>
  </si>
  <si>
    <t>TIM</t>
  </si>
  <si>
    <t>4x SIM Aziendali</t>
  </si>
  <si>
    <t>Vodafone</t>
  </si>
  <si>
    <t>1x SIM Antonio</t>
  </si>
  <si>
    <t>TOTALE</t>
  </si>
  <si>
    <t xml:space="preserve">PRESTAMPA </t>
  </si>
  <si>
    <t>Pacchetto Adobe</t>
  </si>
  <si>
    <t>3 licenze complete usufruibili su 6 dispositivi, attualmente in uso 5
canone annuo con rinnovo a Gennaio</t>
  </si>
  <si>
    <t>DropBox</t>
  </si>
  <si>
    <t>canone annuo 3 licenze</t>
  </si>
  <si>
    <t>ESKO</t>
  </si>
  <si>
    <t>\</t>
  </si>
  <si>
    <t>NOLEGGIO STAMPANTE RICOH MPC</t>
  </si>
  <si>
    <t>€0,007 stampa bn, €0,04 stampa colori, canone €77,50 mese</t>
  </si>
  <si>
    <t>AMMINISTRAZIONE E CONTABILITà</t>
  </si>
  <si>
    <t>BUSINESS NTS 2 utenze</t>
  </si>
  <si>
    <t>Canone ass. business excellence 1° e 2° quad €533,33 +iva + doc. elettronici 2500 €180+iva</t>
  </si>
  <si>
    <t>Canone ass. business excellence quadrimestrale €533,33 +iva</t>
  </si>
  <si>
    <t>Canone ass. business excellence 1° quad. €483,33 +iva + €400 una tantum integrazione modulo agenti +assistenza 2°e 3° quad. €533,33</t>
  </si>
  <si>
    <t>Canone ass. business excellence quadrimestrale €433,33 +iva + €150 una tantum integrazione gerp</t>
  </si>
  <si>
    <t>ARUBA PEC</t>
  </si>
  <si>
    <t>rinnovo a gennaio</t>
  </si>
  <si>
    <t>SOFTDIIGITAL E ALIAS GROUP(FINO AL 24)</t>
  </si>
  <si>
    <t>pacchett 2500 ft elettroniche</t>
  </si>
  <si>
    <t>SOFTWARE ANALISI CLIENTI</t>
  </si>
  <si>
    <t>(Creditsafe fino al 2024-cerved dal 2025)</t>
  </si>
  <si>
    <t>IRIDEOS FAX</t>
  </si>
  <si>
    <t>SOFTWARE VARI</t>
  </si>
  <si>
    <t>GERP</t>
  </si>
  <si>
    <t>vedi fatture allegate</t>
  </si>
  <si>
    <t>CERM</t>
  </si>
  <si>
    <t>vedo ct allegato per costi</t>
  </si>
  <si>
    <t>SUPREMO</t>
  </si>
  <si>
    <t>1 ANNO 3 CONTROLLER RINNOVO A FEBBRAIO</t>
  </si>
  <si>
    <t>CANVA</t>
  </si>
  <si>
    <t>creazione post social, licenza annuale, rinnovo marzo</t>
  </si>
  <si>
    <t>JOTFORM</t>
  </si>
  <si>
    <t>software per creazione modulo ordine</t>
  </si>
  <si>
    <t>ONEPASSWORD</t>
  </si>
  <si>
    <t>pagato da privato, lo usiamo solo Io, Antonio, Alessandro e Marisa
 al momento piano familiare annuale con rinnovo a novembre</t>
  </si>
  <si>
    <t>RESTAINO</t>
  </si>
  <si>
    <t>SOPHOS ANTIVIRUS</t>
  </si>
  <si>
    <t>*non ho trovato nulla, non so se voi avete qualcosa</t>
  </si>
  <si>
    <t>OFFICE 365</t>
  </si>
  <si>
    <t>QMAIL AGENT</t>
  </si>
  <si>
    <t>licenza annuale rinnovo a novembre</t>
  </si>
  <si>
    <t>ZIMBRA</t>
  </si>
  <si>
    <t>CENTRALINO 3CX</t>
  </si>
  <si>
    <t>57 e 165/2024</t>
  </si>
  <si>
    <t>VARIE</t>
  </si>
  <si>
    <t>36/2025</t>
  </si>
  <si>
    <t>318/2024</t>
  </si>
  <si>
    <t>178/2023</t>
  </si>
  <si>
    <t>48/2022</t>
  </si>
  <si>
    <t>319/2024</t>
  </si>
  <si>
    <t>380/2023</t>
  </si>
  <si>
    <t>179/2022</t>
  </si>
  <si>
    <t>57/2025</t>
  </si>
  <si>
    <t>222/2022</t>
  </si>
  <si>
    <t>ACQUISTI VARI</t>
  </si>
  <si>
    <r>
      <rPr>
        <rFont val="Montserrat"/>
        <color theme="1"/>
        <sz val="10.0"/>
      </rPr>
      <t xml:space="preserve">LP DISTRIBUZIONE - </t>
    </r>
    <r>
      <rPr>
        <rFont val="Montserrat"/>
        <color theme="1"/>
        <sz val="10.0"/>
      </rPr>
      <t>vedi fatture</t>
    </r>
  </si>
  <si>
    <r>
      <rPr>
        <rFont val="Montserrat"/>
        <color theme="1"/>
        <sz val="10.0"/>
      </rPr>
      <t xml:space="preserve">ALARM VIDEO SISTEM - </t>
    </r>
    <r>
      <rPr>
        <rFont val="Montserrat"/>
        <color theme="1"/>
        <sz val="10.0"/>
      </rPr>
      <t>vedi fatture</t>
    </r>
  </si>
  <si>
    <r>
      <rPr>
        <rFont val="Montserrat"/>
        <color theme="1"/>
        <sz val="10.0"/>
      </rPr>
      <t xml:space="preserve">TONER PER STAMPANTI INTERNE - </t>
    </r>
    <r>
      <rPr>
        <rFont val="Montserrat"/>
        <color theme="1"/>
        <sz val="10.0"/>
      </rPr>
      <t>vedi fatture</t>
    </r>
  </si>
  <si>
    <t>SERVIZI VARI</t>
  </si>
  <si>
    <r>
      <rPr>
        <rFont val="Montserrat"/>
        <color theme="1"/>
        <sz val="10.0"/>
      </rPr>
      <t xml:space="preserve">GESTIONE SOCIAL E SITO - </t>
    </r>
    <r>
      <rPr>
        <rFont val="Montserrat"/>
        <color theme="1"/>
        <sz val="10.0"/>
      </rPr>
      <t>vedi fatture</t>
    </r>
  </si>
  <si>
    <t>gestione interna, ci sarà solo una fattura per aggiornamento 
sito web-in attesa di offerta da Andrea Zita</t>
  </si>
  <si>
    <r>
      <rPr>
        <rFont val="Montserrat"/>
        <color theme="1"/>
        <sz val="10.0"/>
      </rPr>
      <t xml:space="preserve">PRIVACY - </t>
    </r>
    <r>
      <rPr>
        <rFont val="Montserrat"/>
        <color theme="1"/>
        <sz val="10.0"/>
      </rPr>
      <t>vedi fatture</t>
    </r>
  </si>
  <si>
    <r>
      <rPr>
        <rFont val="Montserrat"/>
        <color theme="1"/>
        <sz val="10.0"/>
      </rPr>
      <t xml:space="preserve">IQUADROC - </t>
    </r>
    <r>
      <rPr>
        <rFont val="Montserrat"/>
        <color theme="1"/>
        <sz val="10.0"/>
      </rPr>
      <t>vedi fatture</t>
    </r>
  </si>
  <si>
    <t>SOMME TOTALI</t>
  </si>
  <si>
    <t>Stato</t>
  </si>
  <si>
    <t>Area</t>
  </si>
  <si>
    <t>Produttore</t>
  </si>
  <si>
    <t>Fornitore</t>
  </si>
  <si>
    <t>Prodotto</t>
  </si>
  <si>
    <t>Prezzo</t>
  </si>
  <si>
    <t>Qty</t>
  </si>
  <si>
    <t>Totale</t>
  </si>
  <si>
    <t>Richiede Revisione</t>
  </si>
  <si>
    <t>Software/Gestionali</t>
  </si>
  <si>
    <t>Esko</t>
  </si>
  <si>
    <t>Approvato</t>
  </si>
  <si>
    <t>Infrastruttura</t>
  </si>
  <si>
    <t>SIM Aziendale</t>
  </si>
  <si>
    <t>Fibra 2.5G</t>
  </si>
  <si>
    <t>FWA</t>
  </si>
  <si>
    <t>Trunk SIP</t>
  </si>
  <si>
    <t>CreditSafe/Cerved</t>
  </si>
  <si>
    <t>Adobe</t>
  </si>
  <si>
    <t>Adobe Creative Cloud</t>
  </si>
  <si>
    <t>NTS</t>
  </si>
  <si>
    <t>NTS Business</t>
  </si>
  <si>
    <t>Non ci sono alternative/cambiamenti</t>
  </si>
  <si>
    <t>Medusa</t>
  </si>
  <si>
    <t>Noleggio Stampante</t>
  </si>
  <si>
    <t>Canone superiore al previsto per eccesso stampe</t>
  </si>
  <si>
    <t>Sicurezza</t>
  </si>
  <si>
    <t>Sophos</t>
  </si>
  <si>
    <t>StudioRS</t>
  </si>
  <si>
    <t>Antivirus</t>
  </si>
  <si>
    <t>Segnato 12 Mesi ma per 36. Confermato fino al 2026</t>
  </si>
  <si>
    <t>Zimbra</t>
  </si>
  <si>
    <t>Da rimuovere in quanto EOL</t>
  </si>
  <si>
    <t>3CX</t>
  </si>
  <si>
    <t>3CX
Inc. Server e Supporto</t>
  </si>
  <si>
    <t>Da verificare, possibile convenienza verso Grandstream
ma anche perdita di funzionalità</t>
  </si>
  <si>
    <t>Servizi Cloud</t>
  </si>
  <si>
    <t>JotForm</t>
  </si>
  <si>
    <t>Potremmo abbattere il costo a 0</t>
  </si>
  <si>
    <t>Dropbox</t>
  </si>
  <si>
    <t>Dropbox Standard Plan</t>
  </si>
  <si>
    <t>Se si migra su 365 da eliminare, in alternativa valutare bene l'esigenza
potremmo migrare su QNAP</t>
  </si>
  <si>
    <t>Supremo</t>
  </si>
  <si>
    <t>Utilizzato per il supporto ai clienti</t>
  </si>
  <si>
    <t>Microsoft</t>
  </si>
  <si>
    <t>Office 365 Apps for Business</t>
  </si>
  <si>
    <t>Da verificare rispetto ad un passaggio su 365</t>
  </si>
  <si>
    <t>Canva</t>
  </si>
  <si>
    <t>Volendo gestire in-house la promozione, ci sta come scelta</t>
  </si>
  <si>
    <t>QNAP</t>
  </si>
  <si>
    <t>QMail Premium</t>
  </si>
  <si>
    <t>Eventualmente da migrare su MailStore/365</t>
  </si>
  <si>
    <t>One Password</t>
  </si>
  <si>
    <t>Se si trovano bene, inutile cambiare</t>
  </si>
  <si>
    <t>Aruba</t>
  </si>
  <si>
    <t>PEC</t>
  </si>
  <si>
    <t>Non vedo alternative migliori</t>
  </si>
  <si>
    <t>Da approfondire canoni</t>
  </si>
  <si>
    <t>Servizi Professionali</t>
  </si>
  <si>
    <t>Angelicola</t>
  </si>
  <si>
    <t>Privacy</t>
  </si>
  <si>
    <t>Totale Indicativo</t>
  </si>
  <si>
    <t>Spese una Tantum</t>
  </si>
  <si>
    <t>Spese Una Tantum</t>
  </si>
  <si>
    <t>Ho fatto una media tra le spese fornite</t>
  </si>
  <si>
    <t>Progetti</t>
  </si>
  <si>
    <t>Varie</t>
  </si>
  <si>
    <t>Revamp Server/NAS</t>
  </si>
  <si>
    <t>Zeroloop</t>
  </si>
  <si>
    <t>Gestione IT</t>
  </si>
  <si>
    <t>Hosting + Dominio Sito Web</t>
  </si>
  <si>
    <t>Progetto</t>
  </si>
  <si>
    <t>Stima</t>
  </si>
  <si>
    <t>Prezzo Unitario</t>
  </si>
  <si>
    <t>Costo Previsto</t>
  </si>
  <si>
    <t>Consegna Prevista</t>
  </si>
  <si>
    <t>Rinnovo Sito Web</t>
  </si>
  <si>
    <t>Bonifica Armadi Rack</t>
  </si>
  <si>
    <t>Implementazione Sistema
Reset Password Dominio</t>
  </si>
  <si>
    <t>Migrazione 365</t>
  </si>
  <si>
    <t>Incluso con
Gestione IT</t>
  </si>
  <si>
    <t>Q2</t>
  </si>
  <si>
    <t>Inventario Asset</t>
  </si>
  <si>
    <t>Definizione Strategia Backup
Software</t>
  </si>
  <si>
    <t>Integrazione Privacy</t>
  </si>
  <si>
    <t>Collegamenti Ridondanti
tra Armadi Rack</t>
  </si>
  <si>
    <t>ZeroLoop</t>
  </si>
  <si>
    <t>Installazione Software per
Monitoring e Backup Conf Rete</t>
  </si>
  <si>
    <t>Q1</t>
  </si>
  <si>
    <t>Installazione Software per Supporto e Monitoring PC/Server</t>
  </si>
  <si>
    <t>Integrazione Antivirus per le VM Server</t>
  </si>
  <si>
    <t>Backup off-site per NAS / 5TB</t>
  </si>
  <si>
    <t>350€ / anno</t>
  </si>
  <si>
    <t>Server in cloud per backup delle VM</t>
  </si>
  <si>
    <t>1300€ / anno</t>
  </si>
  <si>
    <t>Prima</t>
  </si>
  <si>
    <t>Costo Mese</t>
  </si>
  <si>
    <t>Quantità</t>
  </si>
  <si>
    <t>Totale Anno</t>
  </si>
  <si>
    <t>Dopo</t>
  </si>
  <si>
    <t>Microsoft 365 Business Standard</t>
  </si>
  <si>
    <t>Microsoft 365 Business Basic</t>
  </si>
  <si>
    <t>Aumento rispetto allo stato attuale
("Prima")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</si>
</sst>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_-* #,##0.00\ &quot;€&quot;_-;\-* #,##0.00\ &quot;€&quot;_-;_-* &quot;-&quot;??\ &quot;€&quot;_-;_-@"/>
    <numFmt numFmtId="166" formatCode="[$€-2]\ #,##0.00"/>
  </numFmts>
  <fonts count="10">
    <font>
      <sz val="10.0"/>
      <color rgb="FF000000"/>
      <name val="Arial"/>
      <scheme val="minor"/>
    </font>
    <font>
      <b/>
      <sz val="10.0"/>
      <color theme="1"/>
      <name val="Montserrat"/>
    </font>
    <font>
      <b/>
      <sz val="12.0"/>
      <color theme="1"/>
      <name val="Montserrat"/>
    </font>
    <font>
      <sz val="10.0"/>
      <color theme="1"/>
      <name val="Montserrat"/>
    </font>
    <font>
      <sz val="12.0"/>
      <color theme="1"/>
      <name val="Montserrat"/>
    </font>
    <font>
      <sz val="11.0"/>
      <color theme="1"/>
      <name val="Montserrat"/>
    </font>
    <font>
      <b/>
      <sz val="11.0"/>
      <color theme="1"/>
      <name val="Montserrat"/>
    </font>
    <font>
      <color theme="1"/>
      <name val="Montserrat"/>
    </font>
    <font>
      <color rgb="FF1D1F20"/>
      <name val="Montserrat"/>
    </font>
    <font>
      <b/>
      <color theme="1"/>
      <name val="Montserrat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3" numFmtId="49" xfId="0" applyAlignment="1" applyFont="1" applyNumberForma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49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5" numFmtId="165" xfId="0" applyAlignment="1" applyFont="1" applyNumberFormat="1">
      <alignment horizontal="center" shrinkToFit="0" vertical="center" wrapText="0"/>
    </xf>
    <xf borderId="0" fillId="0" fontId="5" numFmtId="49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readingOrder="0" vertical="center"/>
    </xf>
    <xf borderId="0" fillId="0" fontId="6" numFmtId="166" xfId="0" applyAlignment="1" applyFont="1" applyNumberFormat="1">
      <alignment horizontal="center" readingOrder="0" vertical="center"/>
    </xf>
    <xf borderId="0" fillId="2" fontId="6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166" xfId="0" applyAlignment="1" applyFont="1" applyNumberFormat="1">
      <alignment horizontal="center" readingOrder="0" vertical="center"/>
    </xf>
    <xf borderId="0" fillId="3" fontId="7" numFmtId="0" xfId="0" applyAlignment="1" applyFill="1" applyFont="1">
      <alignment horizontal="center" readingOrder="0" vertical="center"/>
    </xf>
    <xf borderId="0" fillId="0" fontId="7" numFmtId="166" xfId="0" applyAlignment="1" applyFont="1" applyNumberFormat="1">
      <alignment horizontal="center" vertical="center"/>
    </xf>
    <xf borderId="0" fillId="4" fontId="7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5" fontId="7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readingOrder="0" vertical="center"/>
    </xf>
    <xf borderId="0" fillId="0" fontId="9" numFmtId="166" xfId="0" applyAlignment="1" applyFont="1" applyNumberFormat="1">
      <alignment horizontal="center" vertical="center"/>
    </xf>
    <xf borderId="0" fillId="0" fontId="6" numFmtId="166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9" numFmtId="166" xfId="0" applyAlignment="1" applyFont="1" applyNumberFormat="1">
      <alignment horizontal="center" readingOrder="0" vertical="center"/>
    </xf>
    <xf borderId="0" fillId="0" fontId="8" numFmtId="166" xfId="0" applyAlignment="1" applyFont="1" applyNumberFormat="1">
      <alignment horizontal="center" readingOrder="0" vertical="center"/>
    </xf>
    <xf borderId="0" fillId="6" fontId="9" numFmtId="0" xfId="0" applyAlignment="1" applyFill="1" applyFont="1">
      <alignment horizontal="center" readingOrder="0" vertical="center"/>
    </xf>
    <xf borderId="0" fillId="7" fontId="9" numFmtId="0" xfId="0" applyAlignment="1" applyFill="1" applyFont="1">
      <alignment horizontal="center" readingOrder="0" vertical="center"/>
    </xf>
    <xf borderId="0" fillId="8" fontId="7" numFmtId="0" xfId="0" applyAlignment="1" applyFill="1" applyFont="1">
      <alignment horizontal="center" vertical="center"/>
    </xf>
    <xf borderId="0" fillId="8" fontId="7" numFmtId="166" xfId="0" applyAlignment="1" applyFont="1" applyNumberFormat="1">
      <alignment horizontal="center" vertical="center"/>
    </xf>
    <xf borderId="0" fillId="8" fontId="7" numFmtId="0" xfId="0" applyAlignment="1" applyFont="1">
      <alignment horizontal="center" readingOrder="0" vertical="center"/>
    </xf>
    <xf borderId="0" fillId="7" fontId="7" numFmtId="0" xfId="0" applyAlignment="1" applyFont="1">
      <alignment horizontal="center" vertical="center"/>
    </xf>
    <xf borderId="0" fillId="7" fontId="7" numFmtId="166" xfId="0" applyAlignment="1" applyFont="1" applyNumberFormat="1">
      <alignment horizontal="center" vertical="center"/>
    </xf>
    <xf borderId="0" fillId="7" fontId="7" numFmtId="0" xfId="0" applyAlignment="1" applyFont="1">
      <alignment horizontal="center" readingOrder="0" vertical="center"/>
    </xf>
    <xf borderId="0" fillId="8" fontId="7" numFmtId="166" xfId="0" applyAlignment="1" applyFont="1" applyNumberFormat="1">
      <alignment horizontal="center" readingOrder="0" vertical="center"/>
    </xf>
    <xf borderId="0" fillId="9" fontId="9" numFmtId="0" xfId="0" applyAlignment="1" applyFill="1" applyFont="1">
      <alignment horizontal="center" readingOrder="0" vertical="center"/>
    </xf>
    <xf borderId="0" fillId="10" fontId="7" numFmtId="0" xfId="0" applyAlignment="1" applyFill="1" applyFont="1">
      <alignment horizontal="center" readingOrder="0" vertical="center"/>
    </xf>
    <xf borderId="0" fillId="10" fontId="7" numFmtId="166" xfId="0" applyAlignment="1" applyFont="1" applyNumberFormat="1">
      <alignment horizontal="center" readingOrder="0" vertical="center"/>
    </xf>
    <xf borderId="0" fillId="10" fontId="7" numFmtId="166" xfId="0" applyAlignment="1" applyFont="1" applyNumberFormat="1">
      <alignment horizontal="center" vertical="center"/>
    </xf>
    <xf borderId="0" fillId="7" fontId="7" numFmtId="166" xfId="0" applyAlignment="1" applyFont="1" applyNumberFormat="1">
      <alignment horizontal="center" readingOrder="0" vertical="center"/>
    </xf>
    <xf borderId="0" fillId="10" fontId="9" numFmtId="0" xfId="0" applyAlignment="1" applyFont="1">
      <alignment horizontal="center" readingOrder="0" vertical="center"/>
    </xf>
    <xf borderId="0" fillId="10" fontId="7" numFmtId="0" xfId="0" applyAlignment="1" applyFont="1">
      <alignment horizontal="center" vertical="center"/>
    </xf>
    <xf borderId="0" fillId="10" fontId="9" numFmtId="166" xfId="0" applyAlignment="1" applyFont="1" applyNumberForma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Divisione Budget per Fornitore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'Spese Ricorrenti - Attuale'!$H$1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  <c:spPr>
              <a:solidFill>
                <a:srgbClr val="CCC1DA"/>
              </a:solidFill>
            </c:spPr>
          </c:dPt>
          <c:dPt>
            <c:idx val="16"/>
            <c:spPr>
              <a:solidFill>
                <a:srgbClr val="B7DEE8"/>
              </a:solidFill>
            </c:spPr>
          </c:dPt>
          <c:dPt>
            <c:idx val="17"/>
            <c:spPr>
              <a:solidFill>
                <a:srgbClr val="FCD5B5"/>
              </a:solidFill>
            </c:spPr>
          </c:dPt>
          <c:dPt>
            <c:idx val="18"/>
            <c:spPr>
              <a:solidFill>
                <a:srgbClr val="EDF2F8"/>
              </a:solidFill>
            </c:spPr>
          </c:dPt>
          <c:dPt>
            <c:idx val="19"/>
            <c:spPr>
              <a:solidFill>
                <a:srgbClr val="F9EEED"/>
              </a:solidFill>
            </c:spPr>
          </c:dPt>
          <c:dPt>
            <c:idx val="20"/>
            <c:spPr>
              <a:solidFill>
                <a:srgbClr val="F5F8EE"/>
              </a:solidFill>
            </c:spPr>
          </c:dPt>
          <c:dPt>
            <c:idx val="21"/>
            <c:spPr>
              <a:solidFill>
                <a:srgbClr val="F2F0F6"/>
              </a:solidFill>
            </c:spPr>
          </c:dPt>
          <c:dPt>
            <c:idx val="22"/>
            <c:spPr>
              <a:solidFill>
                <a:srgbClr val="EDF7F9"/>
              </a:solidFill>
            </c:spPr>
          </c:dPt>
          <c:dPt>
            <c:idx val="23"/>
            <c:spPr>
              <a:solidFill>
                <a:srgbClr val="FEF5ED"/>
              </a:solidFill>
            </c:spPr>
          </c:dPt>
          <c:dPt>
            <c:idx val="24"/>
            <c:spPr>
              <a:solidFill>
                <a:srgbClr val="22180C"/>
              </a:solidFill>
            </c:spPr>
          </c:dPt>
          <c:dPt>
            <c:idx val="25"/>
            <c:spPr>
              <a:solidFill>
                <a:srgbClr val="0C222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'Spese Ricorrenti - Attuale'!$C$2:$C$27</c:f>
            </c:strRef>
          </c:cat>
          <c:val>
            <c:numRef>
              <c:f>'Spese Ricorrenti - Attuale'!$H$2:$H$27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8610600" cy="532447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17</xdr:row>
      <xdr:rowOff>371475</xdr:rowOff>
    </xdr:from>
    <xdr:ext cx="8572500" cy="5324475"/>
    <xdr:pic>
      <xdr:nvPicPr>
        <xdr:cNvPr id="1349732802" name="Chart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8610600" cy="5324475"/>
    <xdr:pic>
      <xdr:nvPicPr>
        <xdr:cNvPr id="1665993985" name="Chart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</xdr:row>
      <xdr:rowOff>371475</xdr:rowOff>
    </xdr:from>
    <xdr:ext cx="8572500" cy="5324475"/>
    <xdr:pic>
      <xdr:nvPicPr>
        <xdr:cNvPr id="672659273" name="Chart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39.75"/>
    <col customWidth="1" min="3" max="3" width="67.13"/>
    <col customWidth="1" min="4" max="4" width="51.38"/>
    <col customWidth="1" min="5" max="5" width="9.25"/>
    <col customWidth="1" min="6" max="6" width="67.0"/>
    <col customWidth="1" min="7" max="7" width="13.38"/>
    <col customWidth="1" min="8" max="8" width="57.13"/>
    <col customWidth="1" min="9" max="9" width="9.25"/>
    <col customWidth="1" min="10" max="10" width="38.63"/>
    <col customWidth="1" min="11" max="11" width="9.13"/>
  </cols>
  <sheetData>
    <row r="1" ht="25.5" customHeight="1">
      <c r="A1" s="1" t="s">
        <v>0</v>
      </c>
      <c r="B1" s="2"/>
      <c r="C1" s="3"/>
      <c r="D1" s="3">
        <v>45838.0</v>
      </c>
      <c r="F1" s="3">
        <v>45657.0</v>
      </c>
      <c r="H1" s="3">
        <v>45291.0</v>
      </c>
      <c r="J1" s="3">
        <v>44926.0</v>
      </c>
    </row>
    <row r="2" ht="25.5" customHeight="1">
      <c r="A2" s="2"/>
      <c r="B2" s="2"/>
      <c r="C2" s="4" t="s">
        <v>1</v>
      </c>
      <c r="D2" s="5" t="s">
        <v>2</v>
      </c>
      <c r="E2" s="6" t="s">
        <v>3</v>
      </c>
      <c r="F2" s="5" t="s">
        <v>2</v>
      </c>
      <c r="G2" s="6" t="s">
        <v>3</v>
      </c>
      <c r="H2" s="5" t="s">
        <v>2</v>
      </c>
      <c r="I2" s="6" t="s">
        <v>3</v>
      </c>
      <c r="J2" s="5" t="s">
        <v>2</v>
      </c>
      <c r="K2" s="6" t="s">
        <v>3</v>
      </c>
    </row>
    <row r="3" ht="54.75" customHeight="1">
      <c r="A3" s="7" t="s">
        <v>4</v>
      </c>
      <c r="B3" s="8" t="s">
        <v>5</v>
      </c>
      <c r="C3" s="9" t="s">
        <v>6</v>
      </c>
      <c r="D3" s="9">
        <v>168.68</v>
      </c>
      <c r="E3" s="10"/>
      <c r="F3" s="11">
        <v>86.88</v>
      </c>
      <c r="G3" s="10"/>
      <c r="H3" s="11">
        <v>86.88</v>
      </c>
      <c r="I3" s="10"/>
      <c r="J3" s="11">
        <f>(132.56*3)+105.5</f>
        <v>503.18</v>
      </c>
      <c r="K3" s="10"/>
    </row>
    <row r="4" ht="25.5" customHeight="1">
      <c r="B4" s="8" t="s">
        <v>7</v>
      </c>
      <c r="C4" s="9" t="s">
        <v>8</v>
      </c>
      <c r="D4" s="11">
        <v>429.41</v>
      </c>
      <c r="E4" s="10"/>
      <c r="F4" s="11">
        <v>760.27</v>
      </c>
      <c r="G4" s="10"/>
      <c r="H4" s="11">
        <v>768.25</v>
      </c>
      <c r="I4" s="10"/>
      <c r="J4" s="11">
        <v>135.15</v>
      </c>
      <c r="K4" s="10"/>
    </row>
    <row r="5" ht="25.5" customHeight="1">
      <c r="B5" s="8" t="s">
        <v>9</v>
      </c>
      <c r="C5" s="9" t="s">
        <v>10</v>
      </c>
      <c r="D5" s="11">
        <v>219.6</v>
      </c>
      <c r="E5" s="10"/>
      <c r="F5" s="11">
        <v>439.2</v>
      </c>
      <c r="G5" s="10"/>
      <c r="H5" s="11">
        <v>439.2</v>
      </c>
      <c r="I5" s="10"/>
      <c r="J5" s="11">
        <v>439.2</v>
      </c>
      <c r="K5" s="10"/>
    </row>
    <row r="6" ht="25.5" customHeight="1">
      <c r="B6" s="12" t="s">
        <v>11</v>
      </c>
      <c r="C6" s="13"/>
      <c r="D6" s="13">
        <f>D3+D4+D5</f>
        <v>817.69</v>
      </c>
      <c r="E6" s="14"/>
      <c r="F6" s="13">
        <f>F5+F4+F3</f>
        <v>1286.35</v>
      </c>
      <c r="G6" s="14"/>
      <c r="H6" s="13">
        <f>H3+H4+H5</f>
        <v>1294.33</v>
      </c>
      <c r="I6" s="14"/>
      <c r="J6" s="13">
        <f>J3+J4+J5</f>
        <v>1077.53</v>
      </c>
      <c r="K6" s="10"/>
    </row>
    <row r="7" ht="25.5" customHeight="1">
      <c r="A7" s="7" t="s">
        <v>12</v>
      </c>
      <c r="B7" s="15" t="s">
        <v>13</v>
      </c>
      <c r="C7" s="9" t="s">
        <v>14</v>
      </c>
      <c r="D7" s="11">
        <v>2789.64</v>
      </c>
      <c r="E7" s="10"/>
      <c r="F7" s="11">
        <v>2789.64</v>
      </c>
      <c r="G7" s="10"/>
      <c r="H7" s="11">
        <v>2645.64</v>
      </c>
      <c r="I7" s="10"/>
      <c r="J7" s="11">
        <v>2519.64</v>
      </c>
      <c r="K7" s="10"/>
    </row>
    <row r="8" ht="25.5" customHeight="1">
      <c r="B8" s="8" t="s">
        <v>15</v>
      </c>
      <c r="C8" s="9" t="s">
        <v>16</v>
      </c>
      <c r="D8" s="11">
        <v>432.0</v>
      </c>
      <c r="E8" s="10"/>
      <c r="F8" s="11">
        <v>432.0</v>
      </c>
      <c r="G8" s="10"/>
      <c r="H8" s="11">
        <v>432.0</v>
      </c>
      <c r="I8" s="10"/>
      <c r="J8" s="11">
        <v>360.0</v>
      </c>
      <c r="K8" s="10"/>
    </row>
    <row r="9" ht="25.5" customHeight="1">
      <c r="B9" s="8" t="s">
        <v>17</v>
      </c>
      <c r="C9" s="11"/>
      <c r="D9" s="11">
        <v>2500.0</v>
      </c>
      <c r="E9" s="10"/>
      <c r="F9" s="11">
        <v>19541.67</v>
      </c>
      <c r="G9" s="10"/>
      <c r="H9" s="11">
        <v>17000.0</v>
      </c>
      <c r="I9" s="10"/>
      <c r="J9" s="11" t="s">
        <v>18</v>
      </c>
      <c r="K9" s="10"/>
    </row>
    <row r="10" ht="33.75" customHeight="1">
      <c r="B10" s="8" t="s">
        <v>19</v>
      </c>
      <c r="C10" s="9" t="s">
        <v>20</v>
      </c>
      <c r="D10" s="11">
        <v>1142.65</v>
      </c>
      <c r="E10" s="10"/>
      <c r="F10" s="11">
        <v>4670.69</v>
      </c>
      <c r="G10" s="10"/>
      <c r="H10" s="11">
        <v>2133.34</v>
      </c>
      <c r="I10" s="10"/>
      <c r="J10" s="11">
        <v>2023.25</v>
      </c>
      <c r="K10" s="10"/>
    </row>
    <row r="11" ht="25.5" customHeight="1">
      <c r="B11" s="12" t="s">
        <v>11</v>
      </c>
      <c r="C11" s="13"/>
      <c r="D11" s="13">
        <f>D10+D9+D8+D7</f>
        <v>6864.29</v>
      </c>
      <c r="E11" s="14"/>
      <c r="F11" s="13">
        <f>F10+F9+F8+F7</f>
        <v>27434</v>
      </c>
      <c r="G11" s="14"/>
      <c r="H11" s="13">
        <f>H10+H9+H8+H7</f>
        <v>22210.98</v>
      </c>
      <c r="I11" s="14"/>
      <c r="J11" s="13">
        <f>J10+J8+J7</f>
        <v>4902.89</v>
      </c>
      <c r="K11" s="14"/>
    </row>
    <row r="12" ht="25.5" customHeight="1">
      <c r="A12" s="7" t="s">
        <v>21</v>
      </c>
      <c r="B12" s="7" t="s">
        <v>22</v>
      </c>
      <c r="C12" s="11"/>
      <c r="D12" s="11">
        <v>1246.66</v>
      </c>
      <c r="E12" s="10"/>
      <c r="F12" s="11">
        <v>1599.99</v>
      </c>
      <c r="G12" s="10"/>
      <c r="H12" s="11">
        <v>1949.99</v>
      </c>
      <c r="I12" s="10"/>
      <c r="J12" s="11">
        <v>1883.32</v>
      </c>
      <c r="K12" s="10"/>
    </row>
    <row r="13" ht="25.5" customHeight="1">
      <c r="C13" s="16"/>
      <c r="D13" s="16" t="s">
        <v>23</v>
      </c>
      <c r="E13" s="17"/>
      <c r="F13" s="16" t="s">
        <v>24</v>
      </c>
      <c r="G13" s="17"/>
      <c r="H13" s="16" t="s">
        <v>25</v>
      </c>
      <c r="I13" s="17"/>
      <c r="J13" s="16" t="s">
        <v>26</v>
      </c>
      <c r="K13" s="10"/>
    </row>
    <row r="14" ht="25.5" customHeight="1">
      <c r="C14" s="16"/>
      <c r="E14" s="17"/>
      <c r="G14" s="17"/>
      <c r="H14" s="16"/>
      <c r="I14" s="17"/>
      <c r="J14" s="16"/>
      <c r="K14" s="10"/>
    </row>
    <row r="15" ht="25.5" customHeight="1">
      <c r="B15" s="8" t="s">
        <v>27</v>
      </c>
      <c r="C15" s="9" t="s">
        <v>28</v>
      </c>
      <c r="D15" s="11">
        <v>14.9</v>
      </c>
      <c r="E15" s="10"/>
      <c r="F15" s="11">
        <v>14.9</v>
      </c>
      <c r="G15" s="10"/>
      <c r="H15" s="11">
        <v>14.9</v>
      </c>
      <c r="I15" s="10"/>
      <c r="J15" s="11">
        <v>7.9</v>
      </c>
      <c r="K15" s="10"/>
    </row>
    <row r="16" ht="25.5" customHeight="1">
      <c r="B16" s="8" t="s">
        <v>29</v>
      </c>
      <c r="C16" s="9" t="s">
        <v>30</v>
      </c>
      <c r="D16" s="11">
        <v>82.0</v>
      </c>
      <c r="E16" s="10"/>
      <c r="F16" s="11">
        <v>359.0</v>
      </c>
      <c r="G16" s="10"/>
      <c r="H16" s="11">
        <v>359.0</v>
      </c>
      <c r="I16" s="10"/>
      <c r="J16" s="11">
        <f>359+359</f>
        <v>718</v>
      </c>
      <c r="K16" s="10"/>
    </row>
    <row r="17" ht="25.5" customHeight="1">
      <c r="B17" s="8" t="s">
        <v>31</v>
      </c>
      <c r="C17" s="9" t="s">
        <v>32</v>
      </c>
      <c r="D17" s="11">
        <f>2400+450</f>
        <v>2850</v>
      </c>
      <c r="E17" s="10"/>
      <c r="F17" s="11">
        <v>1120.0</v>
      </c>
      <c r="G17" s="10"/>
      <c r="H17" s="11">
        <v>900.0</v>
      </c>
      <c r="I17" s="10"/>
      <c r="J17" s="11">
        <v>800.0</v>
      </c>
      <c r="K17" s="10"/>
    </row>
    <row r="18" ht="25.5" customHeight="1">
      <c r="B18" s="18" t="s">
        <v>33</v>
      </c>
      <c r="C18" s="11"/>
      <c r="D18" s="11"/>
      <c r="E18" s="11"/>
      <c r="F18" s="11">
        <v>4.1</v>
      </c>
      <c r="G18" s="11"/>
      <c r="H18" s="11">
        <v>4.1</v>
      </c>
      <c r="I18" s="11"/>
      <c r="J18" s="11">
        <v>4.1</v>
      </c>
      <c r="K18" s="10"/>
    </row>
    <row r="19" ht="25.5" customHeight="1">
      <c r="B19" s="12" t="s">
        <v>11</v>
      </c>
      <c r="C19" s="13"/>
      <c r="D19" s="13"/>
      <c r="E19" s="14"/>
      <c r="F19" s="13"/>
      <c r="G19" s="14"/>
      <c r="H19" s="13"/>
      <c r="I19" s="14"/>
      <c r="J19" s="13"/>
      <c r="K19" s="14"/>
    </row>
    <row r="20" ht="25.5" customHeight="1">
      <c r="A20" s="7" t="s">
        <v>34</v>
      </c>
      <c r="B20" s="8" t="s">
        <v>35</v>
      </c>
      <c r="C20" s="9" t="s">
        <v>36</v>
      </c>
      <c r="D20" s="11">
        <v>1630.0</v>
      </c>
      <c r="E20" s="10"/>
      <c r="F20" s="11">
        <v>3960.0</v>
      </c>
      <c r="G20" s="10"/>
      <c r="H20" s="11">
        <v>2050.0</v>
      </c>
      <c r="I20" s="10"/>
      <c r="J20" s="11">
        <v>2390.0</v>
      </c>
      <c r="K20" s="10"/>
    </row>
    <row r="21" ht="25.5" customHeight="1">
      <c r="B21" s="18" t="s">
        <v>37</v>
      </c>
      <c r="C21" s="11"/>
      <c r="D21" s="11" t="s">
        <v>38</v>
      </c>
      <c r="K21" s="10"/>
    </row>
    <row r="22" ht="25.5" customHeight="1">
      <c r="B22" s="8" t="s">
        <v>39</v>
      </c>
      <c r="C22" s="9" t="s">
        <v>40</v>
      </c>
      <c r="D22" s="11">
        <v>178.0</v>
      </c>
      <c r="E22" s="11"/>
      <c r="F22" s="11">
        <v>178.0</v>
      </c>
      <c r="G22" s="11"/>
      <c r="H22" s="11">
        <v>178.0</v>
      </c>
      <c r="I22" s="11"/>
      <c r="J22" s="11"/>
      <c r="K22" s="10"/>
    </row>
    <row r="23" ht="25.5" customHeight="1">
      <c r="B23" s="8" t="s">
        <v>41</v>
      </c>
      <c r="C23" s="9" t="s">
        <v>42</v>
      </c>
      <c r="D23" s="11">
        <v>109.99</v>
      </c>
      <c r="E23" s="11"/>
      <c r="F23" s="11">
        <v>109.99</v>
      </c>
      <c r="G23" s="11"/>
      <c r="H23" s="11"/>
      <c r="I23" s="11"/>
      <c r="J23" s="11"/>
      <c r="K23" s="10"/>
    </row>
    <row r="24" ht="25.5" customHeight="1">
      <c r="B24" s="8" t="s">
        <v>43</v>
      </c>
      <c r="C24" s="9" t="s">
        <v>44</v>
      </c>
      <c r="D24" s="11"/>
      <c r="E24" s="11"/>
      <c r="F24" s="11">
        <v>234.0</v>
      </c>
      <c r="G24" s="11"/>
      <c r="H24" s="11"/>
      <c r="I24" s="11"/>
      <c r="J24" s="11"/>
      <c r="K24" s="10"/>
    </row>
    <row r="25" ht="25.5" customHeight="1">
      <c r="B25" s="8" t="s">
        <v>45</v>
      </c>
      <c r="C25" s="9" t="s">
        <v>46</v>
      </c>
      <c r="D25" s="11"/>
      <c r="E25" s="11"/>
      <c r="F25" s="11">
        <v>71.39</v>
      </c>
      <c r="G25" s="11"/>
      <c r="H25" s="11">
        <v>71.39</v>
      </c>
      <c r="I25" s="11"/>
      <c r="J25" s="11"/>
      <c r="K25" s="10"/>
    </row>
    <row r="26" ht="25.5" customHeight="1">
      <c r="B26" s="12" t="s">
        <v>11</v>
      </c>
      <c r="C26" s="13"/>
      <c r="D26" s="13">
        <f>D20+D22+D23+D24+D25</f>
        <v>1917.99</v>
      </c>
      <c r="E26" s="14"/>
      <c r="F26" s="13">
        <f>F20+F22+F23+F24+F25</f>
        <v>4553.38</v>
      </c>
      <c r="G26" s="14"/>
      <c r="H26" s="13">
        <f>H20+H22+H23+H25</f>
        <v>2299.39</v>
      </c>
      <c r="I26" s="14"/>
      <c r="J26" s="13">
        <f>J20+J22+J23</f>
        <v>2390</v>
      </c>
      <c r="K26" s="10"/>
    </row>
    <row r="27" ht="25.5" customHeight="1">
      <c r="A27" s="7" t="s">
        <v>47</v>
      </c>
      <c r="B27" s="18" t="s">
        <v>48</v>
      </c>
      <c r="C27" s="11"/>
      <c r="D27" s="11">
        <v>2624.34</v>
      </c>
      <c r="E27" s="10"/>
      <c r="F27" s="11" t="s">
        <v>49</v>
      </c>
      <c r="G27" s="10"/>
      <c r="H27" s="11" t="s">
        <v>49</v>
      </c>
      <c r="I27" s="10"/>
      <c r="J27" s="11" t="s">
        <v>49</v>
      </c>
      <c r="K27" s="10"/>
    </row>
    <row r="28" ht="25.5" customHeight="1">
      <c r="B28" s="18" t="s">
        <v>50</v>
      </c>
      <c r="C28" s="11"/>
      <c r="D28" s="11">
        <v>117.6</v>
      </c>
      <c r="E28" s="10"/>
      <c r="F28" s="11">
        <v>117.6</v>
      </c>
      <c r="G28" s="10"/>
      <c r="H28" s="11">
        <v>105.6</v>
      </c>
      <c r="I28" s="10"/>
      <c r="J28" s="11">
        <v>211.2</v>
      </c>
      <c r="K28" s="10"/>
    </row>
    <row r="29" ht="25.5" customHeight="1">
      <c r="B29" s="8" t="s">
        <v>51</v>
      </c>
      <c r="C29" s="9" t="s">
        <v>52</v>
      </c>
      <c r="D29" s="11"/>
      <c r="E29" s="10"/>
      <c r="F29" s="11">
        <v>94.76</v>
      </c>
      <c r="G29" s="10"/>
      <c r="H29" s="11">
        <v>97.08</v>
      </c>
      <c r="I29" s="10"/>
      <c r="J29" s="11">
        <v>99.07</v>
      </c>
      <c r="K29" s="10"/>
    </row>
    <row r="30" ht="25.5" customHeight="1">
      <c r="B30" s="18" t="s">
        <v>53</v>
      </c>
      <c r="C30" s="11"/>
      <c r="D30" s="11">
        <f>6*61</f>
        <v>366</v>
      </c>
      <c r="E30" s="10"/>
      <c r="F30" s="11">
        <f>61*12</f>
        <v>732</v>
      </c>
      <c r="G30" s="10"/>
      <c r="H30" s="11">
        <f>61*13</f>
        <v>793</v>
      </c>
      <c r="I30" s="10"/>
      <c r="J30" s="11">
        <f>61*11</f>
        <v>671</v>
      </c>
      <c r="K30" s="10"/>
    </row>
    <row r="31" ht="25.5" customHeight="1">
      <c r="B31" s="18" t="s">
        <v>54</v>
      </c>
      <c r="C31" s="11"/>
      <c r="D31" s="11">
        <v>532.0</v>
      </c>
      <c r="E31" s="10"/>
      <c r="F31" s="11">
        <f>447+30</f>
        <v>477</v>
      </c>
      <c r="G31" s="10" t="s">
        <v>55</v>
      </c>
      <c r="H31" s="11">
        <v>349.0</v>
      </c>
      <c r="I31" s="10"/>
      <c r="J31" s="11">
        <v>322.0</v>
      </c>
      <c r="K31" s="10"/>
    </row>
    <row r="32" ht="25.5" customHeight="1">
      <c r="B32" s="18" t="s">
        <v>56</v>
      </c>
      <c r="C32" s="11"/>
      <c r="D32" s="11">
        <v>24031.23</v>
      </c>
      <c r="E32" s="10" t="s">
        <v>57</v>
      </c>
      <c r="F32" s="11">
        <v>249.8</v>
      </c>
      <c r="G32" s="10" t="s">
        <v>58</v>
      </c>
      <c r="H32" s="11">
        <v>497.75</v>
      </c>
      <c r="I32" s="10" t="s">
        <v>59</v>
      </c>
      <c r="J32" s="11">
        <v>2855.1</v>
      </c>
      <c r="K32" s="10" t="s">
        <v>60</v>
      </c>
    </row>
    <row r="33" ht="25.5" customHeight="1">
      <c r="C33" s="11"/>
      <c r="D33" s="11"/>
      <c r="E33" s="10"/>
      <c r="F33" s="11">
        <v>503.0</v>
      </c>
      <c r="G33" s="10" t="s">
        <v>61</v>
      </c>
      <c r="H33" s="11">
        <v>191.18</v>
      </c>
      <c r="I33" s="10" t="s">
        <v>62</v>
      </c>
      <c r="J33" s="11">
        <v>986.0</v>
      </c>
      <c r="K33" s="10" t="s">
        <v>63</v>
      </c>
    </row>
    <row r="34" ht="25.5" customHeight="1">
      <c r="C34" s="11"/>
      <c r="D34" s="11">
        <v>702.4</v>
      </c>
      <c r="E34" s="10" t="s">
        <v>64</v>
      </c>
      <c r="F34" s="11"/>
      <c r="G34" s="10"/>
      <c r="H34" s="11"/>
      <c r="I34" s="10"/>
      <c r="J34" s="11">
        <v>809.18</v>
      </c>
      <c r="K34" s="10" t="s">
        <v>65</v>
      </c>
    </row>
    <row r="35" ht="25.5" customHeight="1">
      <c r="B35" s="19" t="s">
        <v>11</v>
      </c>
      <c r="C35" s="13"/>
      <c r="D35" s="13">
        <f>SUM(D28:D34)</f>
        <v>25749.23</v>
      </c>
      <c r="E35" s="14"/>
      <c r="F35" s="13">
        <f>SUM(F28:F33)</f>
        <v>2174.16</v>
      </c>
      <c r="G35" s="14"/>
      <c r="H35" s="13">
        <f>SUM(H28:H33)</f>
        <v>2033.61</v>
      </c>
      <c r="I35" s="14"/>
      <c r="J35" s="13">
        <f>SUM(J28:J34)</f>
        <v>5953.55</v>
      </c>
      <c r="K35" s="10"/>
    </row>
    <row r="36" ht="25.5" customHeight="1">
      <c r="A36" s="7" t="s">
        <v>66</v>
      </c>
      <c r="B36" s="18" t="s">
        <v>67</v>
      </c>
      <c r="C36" s="11"/>
      <c r="D36" s="11">
        <f>134.34+2395</f>
        <v>2529.34</v>
      </c>
      <c r="E36" s="10"/>
      <c r="F36" s="11">
        <f>9.02+41.38+6.5+114.75+9.84+145.03+355</f>
        <v>681.52</v>
      </c>
      <c r="G36" s="10"/>
      <c r="H36" s="11">
        <f>9.1+125.93+60.5+46.2</f>
        <v>241.73</v>
      </c>
      <c r="I36" s="10"/>
      <c r="J36" s="11">
        <f>30.75+20.43+133.57+34.58+467.21</f>
        <v>686.54</v>
      </c>
      <c r="K36" s="10"/>
    </row>
    <row r="37" ht="25.5" customHeight="1">
      <c r="B37" s="18" t="s">
        <v>68</v>
      </c>
      <c r="C37" s="11"/>
      <c r="D37" s="11"/>
      <c r="E37" s="10"/>
      <c r="F37" s="11">
        <f>540+75+13.53</f>
        <v>628.53</v>
      </c>
      <c r="G37" s="10"/>
      <c r="H37" s="11">
        <f>64.3+420</f>
        <v>484.3</v>
      </c>
      <c r="I37" s="10"/>
      <c r="J37" s="11">
        <v>619.56</v>
      </c>
      <c r="K37" s="10"/>
    </row>
    <row r="38" ht="25.5" customHeight="1">
      <c r="B38" s="18" t="s">
        <v>69</v>
      </c>
      <c r="C38" s="11"/>
      <c r="D38" s="11">
        <v>322.0</v>
      </c>
      <c r="E38" s="10"/>
      <c r="F38" s="11">
        <v>447.0</v>
      </c>
      <c r="G38" s="10"/>
      <c r="H38" s="11">
        <v>599.0</v>
      </c>
      <c r="I38" s="10"/>
      <c r="J38" s="11">
        <v>557.0</v>
      </c>
      <c r="K38" s="10"/>
    </row>
    <row r="39" ht="25.5" customHeight="1">
      <c r="B39" s="12" t="s">
        <v>11</v>
      </c>
      <c r="C39" s="13"/>
      <c r="D39" s="13">
        <f>D36+D37+D38</f>
        <v>2851.34</v>
      </c>
      <c r="E39" s="14"/>
      <c r="F39" s="13">
        <f>F36+F37</f>
        <v>1310.05</v>
      </c>
      <c r="G39" s="14"/>
      <c r="H39" s="13">
        <f>H36+H37+H38</f>
        <v>1325.03</v>
      </c>
      <c r="I39" s="14"/>
      <c r="J39" s="13">
        <f>J36+J37+J38</f>
        <v>1863.1</v>
      </c>
      <c r="K39" s="10"/>
    </row>
    <row r="40" ht="25.5" customHeight="1">
      <c r="A40" s="7" t="s">
        <v>70</v>
      </c>
      <c r="B40" s="18" t="s">
        <v>71</v>
      </c>
      <c r="C40" s="11"/>
      <c r="D40" s="9" t="s">
        <v>72</v>
      </c>
      <c r="E40" s="10"/>
      <c r="F40" s="11">
        <v>430.0</v>
      </c>
      <c r="G40" s="10"/>
      <c r="H40" s="11">
        <f>12*430</f>
        <v>5160</v>
      </c>
      <c r="I40" s="10"/>
      <c r="J40" s="11">
        <f>(12*430)+1100</f>
        <v>6260</v>
      </c>
      <c r="K40" s="10"/>
    </row>
    <row r="41" ht="25.5" customHeight="1">
      <c r="B41" s="18" t="s">
        <v>73</v>
      </c>
      <c r="C41" s="11"/>
      <c r="D41" s="11"/>
      <c r="E41" s="10"/>
      <c r="F41" s="11"/>
      <c r="G41" s="10"/>
      <c r="H41" s="11">
        <v>506.0</v>
      </c>
      <c r="I41" s="10"/>
      <c r="J41" s="11">
        <v>250.0</v>
      </c>
      <c r="K41" s="10"/>
    </row>
    <row r="42" ht="25.5" customHeight="1">
      <c r="B42" s="18" t="s">
        <v>74</v>
      </c>
      <c r="C42" s="11"/>
      <c r="D42" s="11"/>
      <c r="E42" s="10"/>
      <c r="F42" s="11"/>
      <c r="G42" s="10"/>
      <c r="H42" s="11">
        <v>2000.0</v>
      </c>
      <c r="I42" s="10"/>
      <c r="J42" s="11">
        <v>2200.0</v>
      </c>
      <c r="K42" s="10"/>
    </row>
    <row r="43" ht="25.5" customHeight="1">
      <c r="B43" s="12" t="s">
        <v>11</v>
      </c>
      <c r="C43" s="13"/>
      <c r="D43" s="13">
        <f>SUM(D40:D41)</f>
        <v>0</v>
      </c>
      <c r="E43" s="14"/>
      <c r="F43" s="13">
        <f>SUM(F40:F41)</f>
        <v>430</v>
      </c>
      <c r="G43" s="14"/>
      <c r="H43" s="13">
        <f>SUM(H40:H41)</f>
        <v>5666</v>
      </c>
      <c r="I43" s="14"/>
      <c r="J43" s="13">
        <f>SUM(J40:J42)</f>
        <v>8710</v>
      </c>
      <c r="K43" s="10"/>
    </row>
    <row r="44" ht="25.5" customHeight="1">
      <c r="A44" s="20"/>
      <c r="B44" s="21" t="s">
        <v>75</v>
      </c>
      <c r="C44" s="22"/>
      <c r="D44" s="22">
        <f>SUM(D6+D11+D19+D26+D35+D39+D43)</f>
        <v>38200.54</v>
      </c>
      <c r="E44" s="22"/>
      <c r="F44" s="22">
        <f>SUM(F6+F11+F19+F26+F35+F39+F43)</f>
        <v>37187.94</v>
      </c>
      <c r="G44" s="22"/>
      <c r="H44" s="22">
        <f>SUM(H6+H11+H19+H26+H35+H39+H43)</f>
        <v>34829.34</v>
      </c>
      <c r="I44" s="22"/>
      <c r="J44" s="22">
        <f>SUM(J6+J11+J19+J26+J35+J39+J43)</f>
        <v>24897.07</v>
      </c>
      <c r="K44" s="23"/>
    </row>
    <row r="45" ht="25.5" customHeight="1">
      <c r="A45" s="18"/>
      <c r="B45" s="18"/>
      <c r="C45" s="11"/>
      <c r="D45" s="11"/>
      <c r="E45" s="10"/>
      <c r="F45" s="11"/>
      <c r="G45" s="10"/>
      <c r="H45" s="11"/>
      <c r="I45" s="10"/>
      <c r="J45" s="11"/>
      <c r="K45" s="10"/>
    </row>
    <row r="46" ht="25.5" customHeight="1">
      <c r="A46" s="18"/>
      <c r="B46" s="18"/>
      <c r="C46" s="11"/>
      <c r="D46" s="11"/>
      <c r="E46" s="10"/>
      <c r="F46" s="11"/>
      <c r="G46" s="10"/>
      <c r="H46" s="11"/>
      <c r="I46" s="10"/>
      <c r="J46" s="11"/>
      <c r="K46" s="10"/>
    </row>
    <row r="47" ht="25.5" customHeight="1">
      <c r="A47" s="18"/>
      <c r="B47" s="18"/>
      <c r="C47" s="11"/>
      <c r="D47" s="11"/>
      <c r="E47" s="10"/>
      <c r="F47" s="11"/>
      <c r="G47" s="10"/>
      <c r="H47" s="11"/>
      <c r="I47" s="10"/>
      <c r="J47" s="11"/>
      <c r="K47" s="10"/>
    </row>
    <row r="48" ht="25.5" customHeight="1">
      <c r="A48" s="18"/>
      <c r="B48" s="18"/>
      <c r="C48" s="11"/>
      <c r="D48" s="11"/>
      <c r="E48" s="10"/>
      <c r="F48" s="11"/>
      <c r="G48" s="10"/>
      <c r="H48" s="11"/>
      <c r="I48" s="10"/>
      <c r="J48" s="11"/>
      <c r="K48" s="10"/>
    </row>
  </sheetData>
  <mergeCells count="16">
    <mergeCell ref="B12:B14"/>
    <mergeCell ref="D13:D14"/>
    <mergeCell ref="A20:A26"/>
    <mergeCell ref="A27:A35"/>
    <mergeCell ref="B32:B34"/>
    <mergeCell ref="A36:A39"/>
    <mergeCell ref="A40:A43"/>
    <mergeCell ref="F13:F14"/>
    <mergeCell ref="D21:J21"/>
    <mergeCell ref="D1:E1"/>
    <mergeCell ref="F1:G1"/>
    <mergeCell ref="H1:I1"/>
    <mergeCell ref="J1:K1"/>
    <mergeCell ref="A3:A6"/>
    <mergeCell ref="A7:A11"/>
    <mergeCell ref="A12:A19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2.63"/>
    <col customWidth="1" min="2" max="2" width="23.5"/>
    <col customWidth="1" min="3" max="3" width="19.88"/>
    <col customWidth="1" min="4" max="4" width="26.75"/>
    <col customWidth="1" min="5" max="5" width="28.63"/>
    <col customWidth="1" min="6" max="6" width="13.13"/>
    <col customWidth="1" min="7" max="7" width="9.25"/>
    <col customWidth="1" min="8" max="8" width="14.75"/>
    <col customWidth="1" min="9" max="9" width="71.88"/>
    <col customWidth="1" min="10" max="10" width="22.5"/>
    <col customWidth="1" min="11" max="11" width="113.0"/>
  </cols>
  <sheetData>
    <row r="1" ht="30.75" customHeight="1">
      <c r="A1" s="24" t="s">
        <v>76</v>
      </c>
      <c r="B1" s="24" t="s">
        <v>77</v>
      </c>
      <c r="C1" s="24" t="s">
        <v>78</v>
      </c>
      <c r="D1" s="24" t="s">
        <v>79</v>
      </c>
      <c r="E1" s="24" t="s">
        <v>80</v>
      </c>
      <c r="F1" s="25" t="s">
        <v>81</v>
      </c>
      <c r="G1" s="24" t="s">
        <v>82</v>
      </c>
      <c r="H1" s="25" t="s">
        <v>83</v>
      </c>
      <c r="I1" s="24" t="s">
        <v>1</v>
      </c>
      <c r="J1" s="26"/>
      <c r="K1" s="26"/>
    </row>
    <row r="2" ht="30.75" customHeight="1">
      <c r="A2" s="27" t="s">
        <v>84</v>
      </c>
      <c r="B2" s="27" t="s">
        <v>85</v>
      </c>
      <c r="C2" s="27" t="s">
        <v>86</v>
      </c>
      <c r="D2" s="27" t="s">
        <v>86</v>
      </c>
      <c r="E2" s="27" t="s">
        <v>86</v>
      </c>
      <c r="F2" s="28">
        <f>H2/12*G2</f>
        <v>416.6666667</v>
      </c>
      <c r="G2" s="27">
        <v>1.0</v>
      </c>
      <c r="H2" s="28">
        <v>5000.0</v>
      </c>
      <c r="I2" s="27"/>
      <c r="J2" s="29"/>
      <c r="K2" s="29"/>
    </row>
    <row r="3" ht="30.75" customHeight="1">
      <c r="A3" s="27" t="s">
        <v>87</v>
      </c>
      <c r="B3" s="27" t="s">
        <v>88</v>
      </c>
      <c r="C3" s="27" t="s">
        <v>9</v>
      </c>
      <c r="D3" s="27" t="s">
        <v>9</v>
      </c>
      <c r="E3" s="27" t="s">
        <v>89</v>
      </c>
      <c r="F3" s="28">
        <f t="shared" ref="F3:F4" si="1">H3/12/G3</f>
        <v>36.6</v>
      </c>
      <c r="G3" s="27">
        <v>1.0</v>
      </c>
      <c r="H3" s="28">
        <v>439.2</v>
      </c>
      <c r="I3" s="27"/>
      <c r="J3" s="29"/>
      <c r="K3" s="29"/>
    </row>
    <row r="4" ht="30.75" customHeight="1">
      <c r="A4" s="27" t="s">
        <v>87</v>
      </c>
      <c r="B4" s="27" t="s">
        <v>88</v>
      </c>
      <c r="C4" s="27" t="s">
        <v>7</v>
      </c>
      <c r="D4" s="27" t="s">
        <v>7</v>
      </c>
      <c r="E4" s="27" t="s">
        <v>89</v>
      </c>
      <c r="F4" s="28">
        <f t="shared" si="1"/>
        <v>15.83895833</v>
      </c>
      <c r="G4" s="27">
        <v>4.0</v>
      </c>
      <c r="H4" s="28">
        <v>760.27</v>
      </c>
      <c r="I4" s="27"/>
      <c r="J4" s="29"/>
      <c r="K4" s="29"/>
    </row>
    <row r="5" ht="30.75" customHeight="1">
      <c r="A5" s="27" t="s">
        <v>87</v>
      </c>
      <c r="B5" s="27" t="s">
        <v>88</v>
      </c>
      <c r="C5" s="27" t="s">
        <v>5</v>
      </c>
      <c r="D5" s="27" t="s">
        <v>5</v>
      </c>
      <c r="E5" s="27" t="s">
        <v>90</v>
      </c>
      <c r="F5" s="28">
        <v>43.46</v>
      </c>
      <c r="G5" s="27">
        <v>1.0</v>
      </c>
      <c r="H5" s="28">
        <f t="shared" ref="H5:H7" si="2">(F5*G5)*12</f>
        <v>521.52</v>
      </c>
      <c r="I5" s="27"/>
      <c r="J5" s="29"/>
      <c r="K5" s="29"/>
    </row>
    <row r="6" ht="30.75" customHeight="1">
      <c r="A6" s="27" t="s">
        <v>87</v>
      </c>
      <c r="B6" s="27" t="s">
        <v>88</v>
      </c>
      <c r="C6" s="27" t="s">
        <v>5</v>
      </c>
      <c r="D6" s="27" t="s">
        <v>5</v>
      </c>
      <c r="E6" s="27" t="s">
        <v>91</v>
      </c>
      <c r="F6" s="28">
        <v>3.0</v>
      </c>
      <c r="G6" s="27">
        <v>1.0</v>
      </c>
      <c r="H6" s="28">
        <f t="shared" si="2"/>
        <v>36</v>
      </c>
      <c r="I6" s="27"/>
      <c r="J6" s="29"/>
      <c r="K6" s="29"/>
    </row>
    <row r="7" ht="30.75" customHeight="1">
      <c r="A7" s="27" t="s">
        <v>87</v>
      </c>
      <c r="B7" s="27" t="s">
        <v>88</v>
      </c>
      <c r="C7" s="27" t="s">
        <v>5</v>
      </c>
      <c r="D7" s="27" t="s">
        <v>5</v>
      </c>
      <c r="E7" s="27" t="s">
        <v>92</v>
      </c>
      <c r="F7" s="28">
        <v>9.0</v>
      </c>
      <c r="G7" s="27">
        <v>1.0</v>
      </c>
      <c r="H7" s="28">
        <f t="shared" si="2"/>
        <v>108</v>
      </c>
      <c r="I7" s="27"/>
      <c r="J7" s="29"/>
      <c r="K7" s="29"/>
    </row>
    <row r="8" ht="30.75" customHeight="1">
      <c r="A8" s="27" t="s">
        <v>87</v>
      </c>
      <c r="B8" s="27" t="s">
        <v>85</v>
      </c>
      <c r="C8" s="27" t="s">
        <v>93</v>
      </c>
      <c r="D8" s="27" t="s">
        <v>93</v>
      </c>
      <c r="E8" s="27" t="s">
        <v>93</v>
      </c>
      <c r="F8" s="28">
        <f t="shared" ref="F8:F9" si="3">H8/12*G8</f>
        <v>237.5</v>
      </c>
      <c r="G8" s="27">
        <v>1.0</v>
      </c>
      <c r="H8" s="28">
        <v>2850.0</v>
      </c>
      <c r="I8" s="27"/>
      <c r="J8" s="29"/>
      <c r="K8" s="29"/>
    </row>
    <row r="9" ht="30.75" customHeight="1">
      <c r="A9" s="27" t="s">
        <v>84</v>
      </c>
      <c r="B9" s="27" t="s">
        <v>85</v>
      </c>
      <c r="C9" s="27" t="s">
        <v>94</v>
      </c>
      <c r="D9" s="27" t="s">
        <v>94</v>
      </c>
      <c r="E9" s="27" t="s">
        <v>95</v>
      </c>
      <c r="F9" s="28">
        <f t="shared" si="3"/>
        <v>232.47</v>
      </c>
      <c r="G9" s="27">
        <v>1.0</v>
      </c>
      <c r="H9" s="28">
        <v>2789.64</v>
      </c>
      <c r="I9" s="27"/>
      <c r="J9" s="29"/>
      <c r="K9" s="29"/>
    </row>
    <row r="10" ht="30.75" customHeight="1">
      <c r="A10" s="27" t="s">
        <v>87</v>
      </c>
      <c r="B10" s="27" t="s">
        <v>85</v>
      </c>
      <c r="C10" s="27" t="s">
        <v>96</v>
      </c>
      <c r="D10" s="27" t="s">
        <v>96</v>
      </c>
      <c r="E10" s="27" t="s">
        <v>97</v>
      </c>
      <c r="F10" s="28">
        <v>133.33</v>
      </c>
      <c r="G10" s="27">
        <v>1.0</v>
      </c>
      <c r="H10" s="30">
        <f>(F10*G10)*12</f>
        <v>1599.96</v>
      </c>
      <c r="I10" s="27" t="s">
        <v>98</v>
      </c>
      <c r="J10" s="31"/>
      <c r="K10" s="31"/>
    </row>
    <row r="11" ht="30.75" customHeight="1">
      <c r="A11" s="27" t="s">
        <v>84</v>
      </c>
      <c r="B11" s="27" t="s">
        <v>85</v>
      </c>
      <c r="C11" s="27" t="s">
        <v>35</v>
      </c>
      <c r="D11" s="27" t="s">
        <v>35</v>
      </c>
      <c r="E11" s="32" t="s">
        <v>35</v>
      </c>
      <c r="F11" s="28">
        <f>H11/12*G11</f>
        <v>83.33333333</v>
      </c>
      <c r="G11" s="27">
        <v>1.0</v>
      </c>
      <c r="H11" s="28">
        <v>1000.0</v>
      </c>
      <c r="I11" s="27" t="s">
        <v>98</v>
      </c>
      <c r="J11" s="31"/>
      <c r="K11" s="31"/>
    </row>
    <row r="12" ht="30.75" customHeight="1">
      <c r="A12" s="27" t="s">
        <v>84</v>
      </c>
      <c r="B12" s="27" t="s">
        <v>88</v>
      </c>
      <c r="C12" s="27" t="s">
        <v>99</v>
      </c>
      <c r="D12" s="27" t="s">
        <v>99</v>
      </c>
      <c r="E12" s="27" t="s">
        <v>100</v>
      </c>
      <c r="F12" s="28">
        <v>77.5</v>
      </c>
      <c r="G12" s="27">
        <v>1.0</v>
      </c>
      <c r="H12" s="30">
        <f t="shared" ref="H12:H16" si="4">(F12*G12)*12</f>
        <v>930</v>
      </c>
      <c r="I12" s="27" t="s">
        <v>101</v>
      </c>
      <c r="J12" s="29"/>
      <c r="K12" s="29"/>
    </row>
    <row r="13" ht="30.75" customHeight="1">
      <c r="A13" s="27" t="s">
        <v>87</v>
      </c>
      <c r="B13" s="27" t="s">
        <v>102</v>
      </c>
      <c r="C13" s="27" t="s">
        <v>103</v>
      </c>
      <c r="D13" s="27" t="s">
        <v>104</v>
      </c>
      <c r="E13" s="27" t="s">
        <v>105</v>
      </c>
      <c r="F13" s="28">
        <v>4.04</v>
      </c>
      <c r="G13" s="27">
        <v>18.0</v>
      </c>
      <c r="H13" s="30">
        <f t="shared" si="4"/>
        <v>872.64</v>
      </c>
      <c r="I13" s="27" t="s">
        <v>106</v>
      </c>
      <c r="J13" s="27"/>
      <c r="K13" s="27"/>
    </row>
    <row r="14" ht="30.75" customHeight="1">
      <c r="A14" s="27" t="s">
        <v>87</v>
      </c>
      <c r="B14" s="27" t="s">
        <v>88</v>
      </c>
      <c r="C14" s="27" t="s">
        <v>104</v>
      </c>
      <c r="D14" s="27" t="s">
        <v>104</v>
      </c>
      <c r="E14" s="27" t="s">
        <v>107</v>
      </c>
      <c r="F14" s="28">
        <v>61.0</v>
      </c>
      <c r="G14" s="27">
        <v>1.0</v>
      </c>
      <c r="H14" s="30">
        <f t="shared" si="4"/>
        <v>732</v>
      </c>
      <c r="I14" s="27" t="s">
        <v>108</v>
      </c>
      <c r="J14" s="33"/>
      <c r="K14" s="33"/>
    </row>
    <row r="15" ht="30.75" customHeight="1">
      <c r="A15" s="27" t="s">
        <v>87</v>
      </c>
      <c r="B15" s="27" t="s">
        <v>88</v>
      </c>
      <c r="C15" s="27" t="s">
        <v>109</v>
      </c>
      <c r="D15" s="27" t="s">
        <v>104</v>
      </c>
      <c r="E15" s="27" t="s">
        <v>110</v>
      </c>
      <c r="F15" s="28">
        <v>39.75</v>
      </c>
      <c r="G15" s="27">
        <v>1.0</v>
      </c>
      <c r="H15" s="30">
        <f t="shared" si="4"/>
        <v>477</v>
      </c>
      <c r="I15" s="27" t="s">
        <v>111</v>
      </c>
      <c r="J15" s="29"/>
      <c r="K15" s="29"/>
    </row>
    <row r="16" ht="30.75" customHeight="1">
      <c r="A16" s="27" t="s">
        <v>84</v>
      </c>
      <c r="B16" s="27" t="s">
        <v>112</v>
      </c>
      <c r="C16" s="27" t="s">
        <v>113</v>
      </c>
      <c r="D16" s="27" t="s">
        <v>113</v>
      </c>
      <c r="E16" s="27" t="s">
        <v>113</v>
      </c>
      <c r="F16" s="28">
        <v>39.0</v>
      </c>
      <c r="G16" s="27">
        <v>1.0</v>
      </c>
      <c r="H16" s="30">
        <f t="shared" si="4"/>
        <v>468</v>
      </c>
      <c r="I16" s="27" t="s">
        <v>114</v>
      </c>
      <c r="J16" s="29"/>
      <c r="K16" s="29"/>
    </row>
    <row r="17" ht="30.75" customHeight="1">
      <c r="A17" s="27" t="s">
        <v>84</v>
      </c>
      <c r="B17" s="27" t="s">
        <v>112</v>
      </c>
      <c r="C17" s="27" t="s">
        <v>115</v>
      </c>
      <c r="D17" s="27" t="s">
        <v>115</v>
      </c>
      <c r="E17" s="27" t="s">
        <v>116</v>
      </c>
      <c r="F17" s="28">
        <f>(H17/12)*G17</f>
        <v>36</v>
      </c>
      <c r="G17" s="27">
        <v>1.0</v>
      </c>
      <c r="H17" s="30">
        <v>432.0</v>
      </c>
      <c r="I17" s="27" t="s">
        <v>117</v>
      </c>
      <c r="J17" s="29"/>
      <c r="K17" s="29"/>
    </row>
    <row r="18" ht="30.75" customHeight="1">
      <c r="A18" s="27" t="s">
        <v>87</v>
      </c>
      <c r="B18" s="27" t="s">
        <v>85</v>
      </c>
      <c r="C18" s="27" t="s">
        <v>118</v>
      </c>
      <c r="D18" s="27" t="s">
        <v>118</v>
      </c>
      <c r="E18" s="27" t="s">
        <v>118</v>
      </c>
      <c r="F18" s="28">
        <v>14.83</v>
      </c>
      <c r="G18" s="27">
        <v>1.0</v>
      </c>
      <c r="H18" s="30">
        <f t="shared" ref="H18:H23" si="5">(F18*G18)*12</f>
        <v>177.96</v>
      </c>
      <c r="I18" s="27" t="s">
        <v>119</v>
      </c>
      <c r="J18" s="33"/>
      <c r="K18" s="33"/>
    </row>
    <row r="19" ht="30.75" customHeight="1">
      <c r="A19" s="27" t="s">
        <v>84</v>
      </c>
      <c r="B19" s="27" t="s">
        <v>85</v>
      </c>
      <c r="C19" s="27" t="s">
        <v>120</v>
      </c>
      <c r="D19" s="27" t="s">
        <v>120</v>
      </c>
      <c r="E19" s="27" t="s">
        <v>121</v>
      </c>
      <c r="F19" s="28">
        <v>9.8</v>
      </c>
      <c r="G19" s="27">
        <v>1.0</v>
      </c>
      <c r="H19" s="30">
        <f t="shared" si="5"/>
        <v>117.6</v>
      </c>
      <c r="I19" s="27" t="s">
        <v>122</v>
      </c>
      <c r="J19" s="29"/>
      <c r="K19" s="29"/>
    </row>
    <row r="20" ht="30.75" customHeight="1">
      <c r="A20" s="27" t="s">
        <v>87</v>
      </c>
      <c r="B20" s="27" t="s">
        <v>112</v>
      </c>
      <c r="C20" s="27" t="s">
        <v>123</v>
      </c>
      <c r="D20" s="27" t="s">
        <v>123</v>
      </c>
      <c r="E20" s="27" t="s">
        <v>123</v>
      </c>
      <c r="F20" s="28">
        <v>9.08</v>
      </c>
      <c r="G20" s="27">
        <v>1.0</v>
      </c>
      <c r="H20" s="30">
        <f t="shared" si="5"/>
        <v>108.96</v>
      </c>
      <c r="I20" s="27" t="s">
        <v>124</v>
      </c>
      <c r="J20" s="31"/>
      <c r="K20" s="31"/>
    </row>
    <row r="21" ht="30.75" customHeight="1">
      <c r="A21" s="27" t="s">
        <v>84</v>
      </c>
      <c r="B21" s="27" t="s">
        <v>102</v>
      </c>
      <c r="C21" s="27" t="s">
        <v>125</v>
      </c>
      <c r="D21" s="27" t="s">
        <v>125</v>
      </c>
      <c r="E21" s="27" t="s">
        <v>126</v>
      </c>
      <c r="F21" s="28">
        <v>8.33</v>
      </c>
      <c r="G21" s="27">
        <v>1.0</v>
      </c>
      <c r="H21" s="30">
        <f t="shared" si="5"/>
        <v>99.96</v>
      </c>
      <c r="I21" s="27" t="s">
        <v>127</v>
      </c>
      <c r="J21" s="33"/>
      <c r="K21" s="33"/>
    </row>
    <row r="22" ht="30.75" customHeight="1">
      <c r="A22" s="27" t="s">
        <v>87</v>
      </c>
      <c r="B22" s="27" t="s">
        <v>112</v>
      </c>
      <c r="C22" s="27" t="s">
        <v>128</v>
      </c>
      <c r="D22" s="27" t="s">
        <v>128</v>
      </c>
      <c r="E22" s="27" t="s">
        <v>128</v>
      </c>
      <c r="F22" s="28">
        <v>5.94</v>
      </c>
      <c r="G22" s="27">
        <v>1.0</v>
      </c>
      <c r="H22" s="30">
        <f t="shared" si="5"/>
        <v>71.28</v>
      </c>
      <c r="I22" s="27" t="s">
        <v>129</v>
      </c>
      <c r="J22" s="31"/>
      <c r="K22" s="31"/>
    </row>
    <row r="23" ht="30.75" customHeight="1">
      <c r="A23" s="27" t="s">
        <v>87</v>
      </c>
      <c r="B23" s="27" t="s">
        <v>112</v>
      </c>
      <c r="C23" s="27" t="s">
        <v>130</v>
      </c>
      <c r="D23" s="27" t="s">
        <v>130</v>
      </c>
      <c r="E23" s="27" t="s">
        <v>131</v>
      </c>
      <c r="F23" s="28">
        <v>1.25</v>
      </c>
      <c r="G23" s="27">
        <v>1.0</v>
      </c>
      <c r="H23" s="30">
        <f t="shared" si="5"/>
        <v>15</v>
      </c>
      <c r="I23" s="27" t="s">
        <v>132</v>
      </c>
      <c r="J23" s="31"/>
      <c r="K23" s="31"/>
    </row>
    <row r="24" ht="30.75" customHeight="1">
      <c r="A24" s="27" t="s">
        <v>84</v>
      </c>
      <c r="B24" s="27" t="s">
        <v>85</v>
      </c>
      <c r="C24" s="27" t="s">
        <v>37</v>
      </c>
      <c r="D24" s="27" t="s">
        <v>37</v>
      </c>
      <c r="E24" s="27"/>
      <c r="F24" s="28"/>
      <c r="G24" s="27"/>
      <c r="H24" s="30"/>
      <c r="I24" s="27" t="s">
        <v>133</v>
      </c>
      <c r="J24" s="29"/>
      <c r="K24" s="29"/>
    </row>
    <row r="25" ht="30.75" customHeight="1">
      <c r="A25" s="27" t="s">
        <v>87</v>
      </c>
      <c r="B25" s="27" t="s">
        <v>134</v>
      </c>
      <c r="C25" s="27" t="s">
        <v>135</v>
      </c>
      <c r="D25" s="27" t="s">
        <v>136</v>
      </c>
      <c r="E25" s="34"/>
      <c r="F25" s="28">
        <f t="shared" ref="F25:F26" si="6">H25/12*G25</f>
        <v>41.66666667</v>
      </c>
      <c r="G25" s="27">
        <v>1.0</v>
      </c>
      <c r="H25" s="28">
        <v>500.0</v>
      </c>
      <c r="I25" s="27" t="s">
        <v>137</v>
      </c>
      <c r="J25" s="29"/>
      <c r="K25" s="29"/>
    </row>
    <row r="26" ht="30.75" customHeight="1">
      <c r="A26" s="27" t="s">
        <v>87</v>
      </c>
      <c r="B26" s="27" t="s">
        <v>138</v>
      </c>
      <c r="C26" s="27"/>
      <c r="D26" s="27" t="s">
        <v>139</v>
      </c>
      <c r="E26" s="34"/>
      <c r="F26" s="28">
        <f t="shared" si="6"/>
        <v>166.6666667</v>
      </c>
      <c r="G26" s="27">
        <v>1.0</v>
      </c>
      <c r="H26" s="28">
        <v>2000.0</v>
      </c>
      <c r="I26" s="27" t="s">
        <v>140</v>
      </c>
      <c r="J26" s="29"/>
      <c r="K26" s="29"/>
    </row>
    <row r="27" ht="30.75" customHeight="1">
      <c r="A27" s="27" t="s">
        <v>87</v>
      </c>
      <c r="B27" s="27" t="s">
        <v>141</v>
      </c>
      <c r="C27" s="27" t="s">
        <v>142</v>
      </c>
      <c r="D27" s="27" t="s">
        <v>142</v>
      </c>
      <c r="E27" s="27" t="s">
        <v>143</v>
      </c>
      <c r="F27" s="28">
        <f>H27/12/G27</f>
        <v>2002.6025</v>
      </c>
      <c r="G27" s="27">
        <v>1.0</v>
      </c>
      <c r="H27" s="28">
        <v>24031.23</v>
      </c>
      <c r="I27" s="27"/>
      <c r="J27" s="29"/>
      <c r="K27" s="29"/>
    </row>
    <row r="28" ht="271.5" customHeight="1">
      <c r="A28" s="35"/>
      <c r="B28" s="27"/>
      <c r="C28" s="34"/>
      <c r="D28" s="34"/>
      <c r="E28" s="34"/>
      <c r="F28" s="36"/>
      <c r="G28" s="34"/>
      <c r="H28" s="37">
        <f>SUM(H2:H27)</f>
        <v>46138.22</v>
      </c>
      <c r="I28" s="34"/>
      <c r="J28" s="34"/>
      <c r="K28" s="34"/>
    </row>
  </sheetData>
  <autoFilter ref="$B$1:$K$28">
    <sortState ref="B1:K28">
      <sortCondition descending="1" ref="H1:H28"/>
    </sortState>
  </autoFilter>
  <conditionalFormatting sqref="A2:K27">
    <cfRule type="expression" dxfId="0" priority="1">
      <formula>$A2="Approvato"</formula>
    </cfRule>
  </conditionalFormatting>
  <conditionalFormatting sqref="A2:K27">
    <cfRule type="expression" dxfId="1" priority="2">
      <formula>$A2="Richiede Revisione"</formula>
    </cfRule>
  </conditionalFormatting>
  <conditionalFormatting sqref="A2:K27">
    <cfRule type="expression" dxfId="2" priority="3">
      <formula>$A2="Da Rimuovere"</formula>
    </cfRule>
  </conditionalFormatting>
  <conditionalFormatting sqref="A2:K27">
    <cfRule type="expression" dxfId="3" priority="4">
      <formula>$A2="Modificato/Aggiunto"</formula>
    </cfRule>
  </conditionalFormatting>
  <dataValidations>
    <dataValidation type="list" allowBlank="1" showErrorMessage="1" sqref="B2:B27">
      <formula1>"Sicurezza,Software/Gestionali,Infrastruttura,Legal,Servizi Cloud,Servizi Professionali,Spese una Tantum,Progetti"</formula1>
    </dataValidation>
    <dataValidation type="list" allowBlank="1" showErrorMessage="1" sqref="A2:A27">
      <formula1>"Approvato,Richiede Revisione,Da Rimuovere,Modificato/Aggiunto"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3.63"/>
    <col customWidth="1" min="2" max="3" width="19.88"/>
    <col customWidth="1" min="4" max="4" width="36.75"/>
    <col customWidth="1" min="5" max="5" width="28.63"/>
    <col customWidth="1" min="6" max="6" width="13.13"/>
    <col customWidth="1" min="7" max="7" width="9.25"/>
    <col customWidth="1" min="8" max="8" width="14.75"/>
    <col customWidth="1" min="9" max="9" width="71.88"/>
    <col customWidth="1" min="10" max="10" width="22.5"/>
    <col customWidth="1" min="11" max="11" width="113.0"/>
  </cols>
  <sheetData>
    <row r="1" ht="30.75" customHeight="1">
      <c r="A1" s="24" t="s">
        <v>76</v>
      </c>
      <c r="B1" s="24" t="s">
        <v>77</v>
      </c>
      <c r="C1" s="24" t="s">
        <v>78</v>
      </c>
      <c r="D1" s="24" t="s">
        <v>79</v>
      </c>
      <c r="E1" s="24" t="s">
        <v>80</v>
      </c>
      <c r="F1" s="25" t="s">
        <v>81</v>
      </c>
      <c r="G1" s="24" t="s">
        <v>82</v>
      </c>
      <c r="H1" s="25" t="s">
        <v>83</v>
      </c>
      <c r="I1" s="24" t="s">
        <v>1</v>
      </c>
      <c r="J1" s="26"/>
      <c r="K1" s="26"/>
    </row>
    <row r="2" ht="30.75" customHeight="1">
      <c r="A2" s="27" t="s">
        <v>87</v>
      </c>
      <c r="B2" s="27" t="s">
        <v>85</v>
      </c>
      <c r="C2" s="27" t="s">
        <v>86</v>
      </c>
      <c r="D2" s="27" t="s">
        <v>86</v>
      </c>
      <c r="E2" s="27" t="s">
        <v>86</v>
      </c>
      <c r="F2" s="28">
        <f>H2/12*G2</f>
        <v>416.6666667</v>
      </c>
      <c r="G2" s="27">
        <v>1.0</v>
      </c>
      <c r="H2" s="28">
        <v>5000.0</v>
      </c>
      <c r="I2" s="27"/>
      <c r="J2" s="29"/>
      <c r="K2" s="29"/>
    </row>
    <row r="3" ht="30.75" customHeight="1">
      <c r="A3" s="27" t="s">
        <v>84</v>
      </c>
      <c r="B3" s="27" t="s">
        <v>88</v>
      </c>
      <c r="C3" s="27" t="s">
        <v>9</v>
      </c>
      <c r="D3" s="27" t="s">
        <v>9</v>
      </c>
      <c r="E3" s="27" t="s">
        <v>89</v>
      </c>
      <c r="F3" s="28">
        <f t="shared" ref="F3:F4" si="1">H3/12/G3</f>
        <v>36.6</v>
      </c>
      <c r="G3" s="27">
        <v>1.0</v>
      </c>
      <c r="H3" s="28">
        <v>439.2</v>
      </c>
      <c r="I3" s="27"/>
      <c r="J3" s="29"/>
      <c r="K3" s="29"/>
    </row>
    <row r="4" ht="30.75" customHeight="1">
      <c r="A4" s="27" t="s">
        <v>84</v>
      </c>
      <c r="B4" s="27" t="s">
        <v>88</v>
      </c>
      <c r="C4" s="27" t="s">
        <v>7</v>
      </c>
      <c r="D4" s="27" t="s">
        <v>7</v>
      </c>
      <c r="E4" s="27" t="s">
        <v>89</v>
      </c>
      <c r="F4" s="28">
        <f t="shared" si="1"/>
        <v>15.83895833</v>
      </c>
      <c r="G4" s="27">
        <v>4.0</v>
      </c>
      <c r="H4" s="28">
        <v>760.27</v>
      </c>
      <c r="I4" s="27"/>
      <c r="J4" s="29"/>
      <c r="K4" s="29"/>
    </row>
    <row r="5" ht="30.75" customHeight="1">
      <c r="A5" s="27"/>
      <c r="B5" s="27" t="s">
        <v>88</v>
      </c>
      <c r="C5" s="27" t="s">
        <v>5</v>
      </c>
      <c r="D5" s="27" t="s">
        <v>5</v>
      </c>
      <c r="E5" s="27" t="s">
        <v>90</v>
      </c>
      <c r="F5" s="28">
        <v>43.46</v>
      </c>
      <c r="G5" s="27">
        <v>1.0</v>
      </c>
      <c r="H5" s="28">
        <f t="shared" ref="H5:H7" si="2">(F5*G5)*12</f>
        <v>521.52</v>
      </c>
      <c r="I5" s="27"/>
      <c r="J5" s="29"/>
      <c r="K5" s="29"/>
    </row>
    <row r="6" ht="30.75" customHeight="1">
      <c r="A6" s="27"/>
      <c r="B6" s="27" t="s">
        <v>88</v>
      </c>
      <c r="C6" s="27" t="s">
        <v>5</v>
      </c>
      <c r="D6" s="27" t="s">
        <v>5</v>
      </c>
      <c r="E6" s="27" t="s">
        <v>91</v>
      </c>
      <c r="F6" s="28">
        <v>3.0</v>
      </c>
      <c r="G6" s="27">
        <v>1.0</v>
      </c>
      <c r="H6" s="28">
        <f t="shared" si="2"/>
        <v>36</v>
      </c>
      <c r="I6" s="27"/>
      <c r="J6" s="29"/>
      <c r="K6" s="29"/>
    </row>
    <row r="7" ht="30.75" customHeight="1">
      <c r="A7" s="27"/>
      <c r="B7" s="27" t="s">
        <v>88</v>
      </c>
      <c r="C7" s="27" t="s">
        <v>5</v>
      </c>
      <c r="D7" s="27" t="s">
        <v>5</v>
      </c>
      <c r="E7" s="27" t="s">
        <v>92</v>
      </c>
      <c r="F7" s="28">
        <v>9.0</v>
      </c>
      <c r="G7" s="27">
        <v>1.0</v>
      </c>
      <c r="H7" s="28">
        <f t="shared" si="2"/>
        <v>108</v>
      </c>
      <c r="I7" s="27"/>
      <c r="J7" s="29"/>
      <c r="K7" s="29"/>
    </row>
    <row r="8" ht="30.75" customHeight="1">
      <c r="A8" s="27"/>
      <c r="B8" s="27" t="s">
        <v>85</v>
      </c>
      <c r="C8" s="27" t="s">
        <v>93</v>
      </c>
      <c r="D8" s="27" t="s">
        <v>93</v>
      </c>
      <c r="E8" s="27" t="s">
        <v>93</v>
      </c>
      <c r="F8" s="28">
        <f t="shared" ref="F8:F9" si="3">H8/12*G8</f>
        <v>237.5</v>
      </c>
      <c r="G8" s="27">
        <v>1.0</v>
      </c>
      <c r="H8" s="28">
        <v>2850.0</v>
      </c>
      <c r="I8" s="27"/>
      <c r="J8" s="29"/>
      <c r="K8" s="29"/>
    </row>
    <row r="9" ht="30.75" customHeight="1">
      <c r="A9" s="27"/>
      <c r="B9" s="27" t="s">
        <v>85</v>
      </c>
      <c r="C9" s="27" t="s">
        <v>94</v>
      </c>
      <c r="D9" s="27" t="s">
        <v>94</v>
      </c>
      <c r="E9" s="27" t="s">
        <v>95</v>
      </c>
      <c r="F9" s="28">
        <f t="shared" si="3"/>
        <v>232.47</v>
      </c>
      <c r="G9" s="27">
        <v>1.0</v>
      </c>
      <c r="H9" s="28">
        <v>2789.64</v>
      </c>
      <c r="I9" s="27"/>
      <c r="J9" s="29"/>
      <c r="K9" s="29"/>
    </row>
    <row r="10" ht="30.75" customHeight="1">
      <c r="A10" s="27"/>
      <c r="B10" s="27" t="s">
        <v>85</v>
      </c>
      <c r="C10" s="27" t="s">
        <v>96</v>
      </c>
      <c r="D10" s="27" t="s">
        <v>96</v>
      </c>
      <c r="E10" s="27" t="s">
        <v>97</v>
      </c>
      <c r="F10" s="28">
        <v>133.33</v>
      </c>
      <c r="G10" s="27">
        <v>1.0</v>
      </c>
      <c r="H10" s="30">
        <f>(F10*G10)*12</f>
        <v>1599.96</v>
      </c>
      <c r="I10" s="27"/>
      <c r="J10" s="31"/>
      <c r="K10" s="31"/>
    </row>
    <row r="11" ht="30.75" customHeight="1">
      <c r="A11" s="27"/>
      <c r="B11" s="27" t="s">
        <v>85</v>
      </c>
      <c r="C11" s="27" t="s">
        <v>35</v>
      </c>
      <c r="D11" s="27" t="s">
        <v>35</v>
      </c>
      <c r="E11" s="32" t="s">
        <v>35</v>
      </c>
      <c r="F11" s="28">
        <f>H11/12*G11</f>
        <v>83.33333333</v>
      </c>
      <c r="G11" s="27">
        <v>1.0</v>
      </c>
      <c r="H11" s="28">
        <v>1000.0</v>
      </c>
      <c r="I11" s="27"/>
      <c r="J11" s="31"/>
      <c r="K11" s="31"/>
    </row>
    <row r="12" ht="30.75" customHeight="1">
      <c r="A12" s="27" t="s">
        <v>84</v>
      </c>
      <c r="B12" s="27" t="s">
        <v>88</v>
      </c>
      <c r="C12" s="27" t="s">
        <v>99</v>
      </c>
      <c r="D12" s="27" t="s">
        <v>99</v>
      </c>
      <c r="E12" s="27" t="s">
        <v>100</v>
      </c>
      <c r="F12" s="28">
        <v>77.5</v>
      </c>
      <c r="G12" s="27">
        <v>1.0</v>
      </c>
      <c r="H12" s="30">
        <f t="shared" ref="H12:H14" si="4">(F12*G12)*12</f>
        <v>930</v>
      </c>
      <c r="I12" s="27"/>
      <c r="J12" s="29"/>
      <c r="K12" s="29"/>
    </row>
    <row r="13" ht="30.75" customHeight="1">
      <c r="A13" s="27"/>
      <c r="B13" s="27" t="s">
        <v>102</v>
      </c>
      <c r="C13" s="27" t="s">
        <v>103</v>
      </c>
      <c r="D13" s="27" t="s">
        <v>104</v>
      </c>
      <c r="E13" s="27" t="s">
        <v>105</v>
      </c>
      <c r="F13" s="28">
        <v>4.04</v>
      </c>
      <c r="G13" s="27">
        <v>18.0</v>
      </c>
      <c r="H13" s="30">
        <f t="shared" si="4"/>
        <v>872.64</v>
      </c>
      <c r="I13" s="27"/>
      <c r="J13" s="27"/>
      <c r="K13" s="27"/>
    </row>
    <row r="14" ht="30.75" customHeight="1">
      <c r="A14" s="27" t="s">
        <v>84</v>
      </c>
      <c r="B14" s="27" t="s">
        <v>88</v>
      </c>
      <c r="C14" s="27" t="s">
        <v>104</v>
      </c>
      <c r="D14" s="27" t="s">
        <v>104</v>
      </c>
      <c r="E14" s="27" t="s">
        <v>107</v>
      </c>
      <c r="F14" s="28">
        <v>61.0</v>
      </c>
      <c r="G14" s="27">
        <v>1.0</v>
      </c>
      <c r="H14" s="30">
        <f t="shared" si="4"/>
        <v>732</v>
      </c>
      <c r="I14" s="27"/>
      <c r="J14" s="33"/>
      <c r="K14" s="33"/>
    </row>
    <row r="15" ht="30.75" customHeight="1">
      <c r="A15" s="27"/>
      <c r="B15" s="27" t="s">
        <v>88</v>
      </c>
      <c r="C15" s="27" t="s">
        <v>109</v>
      </c>
      <c r="D15" s="27" t="s">
        <v>104</v>
      </c>
      <c r="E15" s="27" t="s">
        <v>110</v>
      </c>
      <c r="F15" s="28">
        <f>H15/12/G15</f>
        <v>31.41666667</v>
      </c>
      <c r="G15" s="27">
        <v>1.0</v>
      </c>
      <c r="H15" s="28">
        <v>377.0</v>
      </c>
      <c r="I15" s="27"/>
      <c r="J15" s="29"/>
      <c r="K15" s="29"/>
    </row>
    <row r="16" ht="30.75" customHeight="1">
      <c r="A16" s="27" t="s">
        <v>84</v>
      </c>
      <c r="B16" s="27" t="s">
        <v>112</v>
      </c>
      <c r="C16" s="27" t="s">
        <v>113</v>
      </c>
      <c r="D16" s="27" t="s">
        <v>113</v>
      </c>
      <c r="E16" s="27" t="s">
        <v>113</v>
      </c>
      <c r="F16" s="28">
        <v>39.0</v>
      </c>
      <c r="G16" s="27">
        <v>1.0</v>
      </c>
      <c r="H16" s="30">
        <f>(F16*G16)*12</f>
        <v>468</v>
      </c>
      <c r="I16" s="27"/>
      <c r="J16" s="29"/>
      <c r="K16" s="29"/>
    </row>
    <row r="17" ht="30.75" customHeight="1">
      <c r="A17" s="27" t="s">
        <v>84</v>
      </c>
      <c r="B17" s="27" t="s">
        <v>112</v>
      </c>
      <c r="C17" s="27" t="s">
        <v>115</v>
      </c>
      <c r="D17" s="27" t="s">
        <v>115</v>
      </c>
      <c r="E17" s="27" t="s">
        <v>116</v>
      </c>
      <c r="F17" s="28">
        <f>(H17/12)*G17</f>
        <v>36</v>
      </c>
      <c r="G17" s="27">
        <v>1.0</v>
      </c>
      <c r="H17" s="30">
        <v>432.0</v>
      </c>
      <c r="I17" s="27"/>
      <c r="J17" s="29"/>
      <c r="K17" s="29"/>
    </row>
    <row r="18" ht="30.75" customHeight="1">
      <c r="A18" s="27"/>
      <c r="B18" s="27" t="s">
        <v>85</v>
      </c>
      <c r="C18" s="27" t="s">
        <v>118</v>
      </c>
      <c r="D18" s="27" t="s">
        <v>118</v>
      </c>
      <c r="E18" s="27" t="s">
        <v>118</v>
      </c>
      <c r="F18" s="28">
        <v>14.83</v>
      </c>
      <c r="G18" s="27">
        <v>1.0</v>
      </c>
      <c r="H18" s="30">
        <f t="shared" ref="H18:H23" si="5">(F18*G18)*12</f>
        <v>177.96</v>
      </c>
      <c r="I18" s="27"/>
      <c r="J18" s="33"/>
      <c r="K18" s="33"/>
    </row>
    <row r="19" ht="30.75" customHeight="1">
      <c r="A19" s="27" t="s">
        <v>84</v>
      </c>
      <c r="B19" s="27" t="s">
        <v>85</v>
      </c>
      <c r="C19" s="27" t="s">
        <v>120</v>
      </c>
      <c r="D19" s="27" t="s">
        <v>120</v>
      </c>
      <c r="E19" s="27" t="s">
        <v>121</v>
      </c>
      <c r="F19" s="28">
        <v>9.8</v>
      </c>
      <c r="G19" s="27">
        <v>1.0</v>
      </c>
      <c r="H19" s="30">
        <f t="shared" si="5"/>
        <v>117.6</v>
      </c>
      <c r="I19" s="27"/>
      <c r="J19" s="29"/>
      <c r="K19" s="29"/>
    </row>
    <row r="20" ht="30.75" customHeight="1">
      <c r="A20" s="27"/>
      <c r="B20" s="27" t="s">
        <v>112</v>
      </c>
      <c r="C20" s="27" t="s">
        <v>123</v>
      </c>
      <c r="D20" s="27" t="s">
        <v>123</v>
      </c>
      <c r="E20" s="27" t="s">
        <v>123</v>
      </c>
      <c r="F20" s="28">
        <v>9.08</v>
      </c>
      <c r="G20" s="27">
        <v>1.0</v>
      </c>
      <c r="H20" s="30">
        <f t="shared" si="5"/>
        <v>108.96</v>
      </c>
      <c r="I20" s="27"/>
      <c r="J20" s="31"/>
      <c r="K20" s="31"/>
    </row>
    <row r="21" ht="30.75" customHeight="1">
      <c r="A21" s="27" t="s">
        <v>84</v>
      </c>
      <c r="B21" s="27" t="s">
        <v>102</v>
      </c>
      <c r="C21" s="27" t="s">
        <v>125</v>
      </c>
      <c r="D21" s="27" t="s">
        <v>125</v>
      </c>
      <c r="E21" s="27" t="s">
        <v>126</v>
      </c>
      <c r="F21" s="28">
        <v>8.33</v>
      </c>
      <c r="G21" s="27">
        <v>1.0</v>
      </c>
      <c r="H21" s="30">
        <f t="shared" si="5"/>
        <v>99.96</v>
      </c>
      <c r="I21" s="27"/>
      <c r="J21" s="33"/>
      <c r="K21" s="33"/>
    </row>
    <row r="22" ht="30.75" customHeight="1">
      <c r="A22" s="27"/>
      <c r="B22" s="27" t="s">
        <v>112</v>
      </c>
      <c r="C22" s="27" t="s">
        <v>128</v>
      </c>
      <c r="D22" s="27" t="s">
        <v>128</v>
      </c>
      <c r="E22" s="27" t="s">
        <v>128</v>
      </c>
      <c r="F22" s="28">
        <v>5.94</v>
      </c>
      <c r="G22" s="27">
        <v>1.0</v>
      </c>
      <c r="H22" s="30">
        <f t="shared" si="5"/>
        <v>71.28</v>
      </c>
      <c r="I22" s="27"/>
      <c r="J22" s="31"/>
      <c r="K22" s="31"/>
    </row>
    <row r="23" ht="30.75" customHeight="1">
      <c r="A23" s="27"/>
      <c r="B23" s="27" t="s">
        <v>112</v>
      </c>
      <c r="C23" s="27" t="s">
        <v>130</v>
      </c>
      <c r="D23" s="27" t="s">
        <v>130</v>
      </c>
      <c r="E23" s="27" t="s">
        <v>131</v>
      </c>
      <c r="F23" s="28">
        <v>1.25</v>
      </c>
      <c r="G23" s="27">
        <v>1.0</v>
      </c>
      <c r="H23" s="30">
        <f t="shared" si="5"/>
        <v>15</v>
      </c>
      <c r="I23" s="27"/>
      <c r="J23" s="31"/>
      <c r="K23" s="31"/>
    </row>
    <row r="24" ht="30.75" customHeight="1">
      <c r="A24" s="27" t="s">
        <v>84</v>
      </c>
      <c r="B24" s="27" t="s">
        <v>85</v>
      </c>
      <c r="C24" s="27" t="s">
        <v>37</v>
      </c>
      <c r="D24" s="27" t="s">
        <v>37</v>
      </c>
      <c r="E24" s="27" t="s">
        <v>37</v>
      </c>
      <c r="F24" s="28"/>
      <c r="G24" s="27"/>
      <c r="H24" s="30"/>
      <c r="I24" s="27"/>
      <c r="J24" s="29"/>
      <c r="K24" s="29"/>
    </row>
    <row r="25" ht="30.75" customHeight="1">
      <c r="A25" s="27" t="s">
        <v>84</v>
      </c>
      <c r="B25" s="27" t="s">
        <v>134</v>
      </c>
      <c r="C25" s="27" t="s">
        <v>135</v>
      </c>
      <c r="D25" s="27" t="s">
        <v>135</v>
      </c>
      <c r="E25" s="27" t="s">
        <v>136</v>
      </c>
      <c r="F25" s="28">
        <f>H25/12*G25</f>
        <v>41.66666667</v>
      </c>
      <c r="G25" s="27">
        <v>1.0</v>
      </c>
      <c r="H25" s="28">
        <v>500.0</v>
      </c>
      <c r="I25" s="27"/>
      <c r="J25" s="29"/>
      <c r="K25" s="29"/>
    </row>
    <row r="26" ht="30.75" customHeight="1">
      <c r="A26" s="27"/>
      <c r="B26" s="27" t="s">
        <v>134</v>
      </c>
      <c r="C26" s="27" t="s">
        <v>144</v>
      </c>
      <c r="D26" s="27" t="s">
        <v>144</v>
      </c>
      <c r="E26" s="27" t="s">
        <v>145</v>
      </c>
      <c r="F26" s="28">
        <v>750.0</v>
      </c>
      <c r="G26" s="27">
        <v>1.0</v>
      </c>
      <c r="H26" s="28">
        <f t="shared" ref="H26:H27" si="6">F26*G26*12</f>
        <v>9000</v>
      </c>
      <c r="I26" s="27"/>
      <c r="J26" s="29"/>
      <c r="K26" s="29"/>
    </row>
    <row r="27" ht="30.75" customHeight="1">
      <c r="A27" s="27"/>
      <c r="B27" s="27" t="s">
        <v>134</v>
      </c>
      <c r="C27" s="27" t="s">
        <v>104</v>
      </c>
      <c r="D27" s="27" t="s">
        <v>104</v>
      </c>
      <c r="E27" s="27" t="s">
        <v>146</v>
      </c>
      <c r="F27" s="28">
        <v>3.75</v>
      </c>
      <c r="G27" s="27">
        <v>1.0</v>
      </c>
      <c r="H27" s="28">
        <f t="shared" si="6"/>
        <v>45</v>
      </c>
      <c r="I27" s="27"/>
      <c r="J27" s="29"/>
      <c r="K27" s="29"/>
    </row>
    <row r="28" ht="30.75" customHeight="1">
      <c r="A28" s="27"/>
      <c r="B28" s="27" t="s">
        <v>138</v>
      </c>
      <c r="C28" s="27"/>
      <c r="D28" s="27" t="s">
        <v>138</v>
      </c>
      <c r="E28" s="27"/>
      <c r="F28" s="28">
        <f>H28/12/G28</f>
        <v>250</v>
      </c>
      <c r="G28" s="27">
        <v>1.0</v>
      </c>
      <c r="H28" s="28">
        <v>3000.0</v>
      </c>
      <c r="I28" s="27"/>
      <c r="J28" s="29"/>
      <c r="K28" s="29"/>
    </row>
    <row r="29" ht="30.75" customHeight="1">
      <c r="A29" s="27"/>
      <c r="B29" s="27"/>
      <c r="C29" s="27"/>
      <c r="D29" s="27"/>
      <c r="E29" s="27"/>
      <c r="F29" s="28"/>
      <c r="G29" s="27"/>
      <c r="H29" s="28"/>
      <c r="I29" s="27"/>
      <c r="J29" s="29"/>
      <c r="K29" s="29"/>
    </row>
    <row r="30" ht="271.5" customHeight="1">
      <c r="A30" s="35"/>
      <c r="B30" s="27"/>
      <c r="C30" s="34"/>
      <c r="D30" s="34"/>
      <c r="E30" s="34"/>
      <c r="F30" s="38"/>
      <c r="G30" s="34"/>
      <c r="H30" s="37">
        <f>SUM(H2:H29)</f>
        <v>32051.99</v>
      </c>
      <c r="I30" s="34"/>
      <c r="J30" s="34"/>
      <c r="K30" s="34"/>
    </row>
  </sheetData>
  <autoFilter ref="$B$1:$K$30">
    <sortState ref="B1:K30">
      <sortCondition descending="1" ref="H1:H30"/>
    </sortState>
  </autoFilter>
  <conditionalFormatting sqref="A2:K29">
    <cfRule type="expression" dxfId="0" priority="1">
      <formula>$A2="Approvato"</formula>
    </cfRule>
  </conditionalFormatting>
  <conditionalFormatting sqref="A2:K29">
    <cfRule type="expression" dxfId="1" priority="2">
      <formula>$A2="Richiede Revisione"</formula>
    </cfRule>
  </conditionalFormatting>
  <conditionalFormatting sqref="A2:K29">
    <cfRule type="expression" dxfId="2" priority="3">
      <formula>$A2="Da Rimuovere"</formula>
    </cfRule>
  </conditionalFormatting>
  <conditionalFormatting sqref="A2:K29">
    <cfRule type="expression" dxfId="3" priority="4">
      <formula>$A2="Modificato/Aggiunto"</formula>
    </cfRule>
  </conditionalFormatting>
  <dataValidations>
    <dataValidation type="list" allowBlank="1" showErrorMessage="1" sqref="B2:B29">
      <formula1>"Sicurezza,Software/Gestionali,Infrastruttura,Legal,Servizi Cloud,Servizi Professionali,Spese una Tantum,Progetti"</formula1>
    </dataValidation>
    <dataValidation type="list" allowBlank="1" showErrorMessage="1" sqref="A2:A29">
      <formula1>"Approvato,Richiede Revisione,Da Rimuovere,Modificato/Aggiunto"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9.88"/>
    <col customWidth="1" min="3" max="3" width="36.75"/>
    <col customWidth="1" min="4" max="4" width="56.13"/>
    <col customWidth="1" min="5" max="8" width="19.88"/>
    <col customWidth="1" min="9" max="9" width="71.88"/>
  </cols>
  <sheetData>
    <row r="1" ht="30.75" customHeight="1">
      <c r="A1" s="39" t="s">
        <v>76</v>
      </c>
      <c r="B1" s="39" t="s">
        <v>77</v>
      </c>
      <c r="C1" s="39" t="s">
        <v>79</v>
      </c>
      <c r="D1" s="39" t="s">
        <v>147</v>
      </c>
      <c r="E1" s="39" t="s">
        <v>148</v>
      </c>
      <c r="F1" s="40" t="s">
        <v>149</v>
      </c>
      <c r="G1" s="40" t="s">
        <v>150</v>
      </c>
      <c r="H1" s="40" t="s">
        <v>151</v>
      </c>
      <c r="I1" s="39" t="s">
        <v>1</v>
      </c>
    </row>
    <row r="2" ht="30.75" customHeight="1">
      <c r="A2" s="27"/>
      <c r="B2" s="27" t="s">
        <v>112</v>
      </c>
      <c r="C2" s="27"/>
      <c r="D2" s="27" t="s">
        <v>152</v>
      </c>
      <c r="E2" s="27"/>
      <c r="F2" s="28"/>
      <c r="G2" s="30"/>
      <c r="H2" s="30"/>
      <c r="I2" s="27"/>
    </row>
    <row r="3" ht="30.75" customHeight="1">
      <c r="A3" s="27"/>
      <c r="B3" s="27" t="s">
        <v>88</v>
      </c>
      <c r="C3" s="27"/>
      <c r="D3" s="27" t="s">
        <v>153</v>
      </c>
      <c r="E3" s="27"/>
      <c r="F3" s="28"/>
      <c r="G3" s="30"/>
      <c r="H3" s="30"/>
      <c r="I3" s="27"/>
    </row>
    <row r="4" ht="30.75" customHeight="1">
      <c r="A4" s="27"/>
      <c r="B4" s="27" t="s">
        <v>85</v>
      </c>
      <c r="C4" s="27"/>
      <c r="D4" s="27" t="s">
        <v>154</v>
      </c>
      <c r="E4" s="27"/>
      <c r="F4" s="28"/>
      <c r="G4" s="30"/>
      <c r="H4" s="30"/>
      <c r="I4" s="27"/>
    </row>
    <row r="5" ht="30.75" customHeight="1">
      <c r="A5" s="27"/>
      <c r="B5" s="27" t="s">
        <v>112</v>
      </c>
      <c r="C5" s="27"/>
      <c r="D5" s="27" t="s">
        <v>155</v>
      </c>
      <c r="E5" s="27" t="s">
        <v>156</v>
      </c>
      <c r="F5" s="28"/>
      <c r="G5" s="30"/>
      <c r="H5" s="28" t="s">
        <v>157</v>
      </c>
      <c r="I5" s="27"/>
    </row>
    <row r="6" ht="30.75" customHeight="1">
      <c r="A6" s="27"/>
      <c r="B6" s="27" t="s">
        <v>88</v>
      </c>
      <c r="C6" s="27"/>
      <c r="D6" s="27" t="s">
        <v>158</v>
      </c>
      <c r="E6" s="27" t="s">
        <v>156</v>
      </c>
      <c r="F6" s="28"/>
      <c r="G6" s="28"/>
      <c r="H6" s="28" t="s">
        <v>157</v>
      </c>
      <c r="I6" s="27"/>
    </row>
    <row r="7" ht="30.75" customHeight="1">
      <c r="A7" s="27"/>
      <c r="B7" s="27" t="s">
        <v>88</v>
      </c>
      <c r="C7" s="27"/>
      <c r="D7" s="27" t="s">
        <v>159</v>
      </c>
      <c r="E7" s="27" t="s">
        <v>156</v>
      </c>
      <c r="F7" s="28"/>
      <c r="G7" s="30"/>
      <c r="H7" s="28" t="s">
        <v>157</v>
      </c>
      <c r="I7" s="27"/>
    </row>
    <row r="8" ht="30.75" customHeight="1">
      <c r="A8" s="27"/>
      <c r="B8" s="27" t="s">
        <v>88</v>
      </c>
      <c r="C8" s="27"/>
      <c r="D8" s="27" t="s">
        <v>160</v>
      </c>
      <c r="E8" s="27"/>
      <c r="F8" s="28"/>
      <c r="G8" s="30"/>
      <c r="H8" s="30"/>
      <c r="I8" s="27"/>
    </row>
    <row r="9" ht="30.75" customHeight="1">
      <c r="A9" s="27"/>
      <c r="B9" s="27" t="s">
        <v>88</v>
      </c>
      <c r="C9" s="27"/>
      <c r="D9" s="27" t="s">
        <v>161</v>
      </c>
      <c r="E9" s="34"/>
      <c r="F9" s="28"/>
      <c r="G9" s="30"/>
      <c r="I9" s="27"/>
    </row>
    <row r="10" ht="30.75" customHeight="1">
      <c r="A10" s="27"/>
      <c r="B10" s="27" t="s">
        <v>88</v>
      </c>
      <c r="C10" s="32" t="s">
        <v>162</v>
      </c>
      <c r="D10" s="27" t="s">
        <v>163</v>
      </c>
      <c r="E10" s="27" t="s">
        <v>156</v>
      </c>
      <c r="F10" s="28"/>
      <c r="G10" s="30"/>
      <c r="H10" s="28" t="s">
        <v>164</v>
      </c>
      <c r="I10" s="27"/>
    </row>
    <row r="11" ht="30.75" customHeight="1">
      <c r="A11" s="27"/>
      <c r="B11" s="27" t="s">
        <v>88</v>
      </c>
      <c r="C11" s="32" t="s">
        <v>162</v>
      </c>
      <c r="D11" s="27" t="s">
        <v>165</v>
      </c>
      <c r="E11" s="27" t="s">
        <v>156</v>
      </c>
      <c r="F11" s="28"/>
      <c r="G11" s="30"/>
      <c r="H11" s="28" t="s">
        <v>164</v>
      </c>
      <c r="I11" s="27"/>
    </row>
    <row r="12" ht="30.75" customHeight="1">
      <c r="A12" s="27"/>
      <c r="B12" s="32" t="s">
        <v>102</v>
      </c>
      <c r="C12" s="32" t="s">
        <v>162</v>
      </c>
      <c r="D12" s="32" t="s">
        <v>166</v>
      </c>
      <c r="E12" s="27" t="s">
        <v>156</v>
      </c>
      <c r="F12" s="41">
        <v>2531.64</v>
      </c>
      <c r="G12" s="41">
        <v>2531.64</v>
      </c>
      <c r="H12" s="41" t="s">
        <v>164</v>
      </c>
      <c r="I12" s="27"/>
    </row>
    <row r="13" ht="30.75" customHeight="1">
      <c r="A13" s="27"/>
      <c r="B13" s="32" t="s">
        <v>88</v>
      </c>
      <c r="C13" s="32" t="s">
        <v>162</v>
      </c>
      <c r="D13" s="32" t="s">
        <v>167</v>
      </c>
      <c r="E13" s="41" t="s">
        <v>168</v>
      </c>
      <c r="G13" s="41"/>
      <c r="H13" s="41" t="s">
        <v>164</v>
      </c>
      <c r="I13" s="27"/>
    </row>
    <row r="14" ht="30.75" customHeight="1">
      <c r="A14" s="27"/>
      <c r="B14" s="32" t="s">
        <v>88</v>
      </c>
      <c r="C14" s="32" t="s">
        <v>162</v>
      </c>
      <c r="D14" s="32" t="s">
        <v>169</v>
      </c>
      <c r="F14" s="41" t="s">
        <v>170</v>
      </c>
      <c r="G14" s="41"/>
      <c r="H14" s="41" t="s">
        <v>157</v>
      </c>
      <c r="I14" s="27"/>
    </row>
  </sheetData>
  <autoFilter ref="$B$1:$I$14"/>
  <conditionalFormatting sqref="A2:I14">
    <cfRule type="expression" dxfId="0" priority="1">
      <formula>$A2="Approvato"</formula>
    </cfRule>
  </conditionalFormatting>
  <conditionalFormatting sqref="A2:I14">
    <cfRule type="expression" dxfId="1" priority="2">
      <formula>$A2="Richiede Revisione"</formula>
    </cfRule>
  </conditionalFormatting>
  <conditionalFormatting sqref="A2:I14">
    <cfRule type="expression" dxfId="2" priority="3">
      <formula>$A2="Da Rimuovere"</formula>
    </cfRule>
  </conditionalFormatting>
  <conditionalFormatting sqref="A2:I14">
    <cfRule type="expression" dxfId="3" priority="4">
      <formula>$A2="Modificato/Aggiunto"</formula>
    </cfRule>
  </conditionalFormatting>
  <dataValidations>
    <dataValidation type="list" allowBlank="1" showErrorMessage="1" sqref="A2:A14">
      <formula1>"Approvato,Richiede Revisione,Da Rimuovere,Modificato/Aggiunto"</formula1>
    </dataValidation>
    <dataValidation type="list" allowBlank="1" showErrorMessage="1" sqref="B2:B14">
      <formula1>"Sicurezza,Software/Gestionali,Infrastruttura,Legal,Servizi Cloud"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0"/>
    <col customWidth="1" min="2" max="4" width="18.38"/>
  </cols>
  <sheetData>
    <row r="1" ht="33.0" customHeight="1">
      <c r="A1" s="42" t="s">
        <v>171</v>
      </c>
    </row>
    <row r="2" ht="33.0" customHeight="1">
      <c r="A2" s="43" t="s">
        <v>80</v>
      </c>
      <c r="B2" s="43" t="s">
        <v>172</v>
      </c>
      <c r="C2" s="43" t="s">
        <v>173</v>
      </c>
      <c r="D2" s="43" t="s">
        <v>174</v>
      </c>
    </row>
    <row r="3" ht="33.0" customHeight="1">
      <c r="A3" s="44" t="s">
        <v>126</v>
      </c>
      <c r="B3" s="45">
        <v>8.33</v>
      </c>
      <c r="C3" s="46">
        <v>1.0</v>
      </c>
      <c r="D3" s="45">
        <f t="shared" ref="D3:D6" si="1">(B3*C3)*12</f>
        <v>99.96</v>
      </c>
    </row>
    <row r="4" ht="33.0" customHeight="1">
      <c r="A4" s="47" t="s">
        <v>107</v>
      </c>
      <c r="B4" s="48">
        <v>61.0</v>
      </c>
      <c r="C4" s="49">
        <v>1.0</v>
      </c>
      <c r="D4" s="48">
        <f t="shared" si="1"/>
        <v>732</v>
      </c>
    </row>
    <row r="5" ht="33.0" customHeight="1">
      <c r="A5" s="44" t="s">
        <v>115</v>
      </c>
      <c r="B5" s="50">
        <v>36.0</v>
      </c>
      <c r="C5" s="46">
        <v>1.0</v>
      </c>
      <c r="D5" s="45">
        <f t="shared" si="1"/>
        <v>432</v>
      </c>
    </row>
    <row r="6" ht="33.0" customHeight="1">
      <c r="A6" s="47" t="s">
        <v>121</v>
      </c>
      <c r="B6" s="48">
        <v>9.8</v>
      </c>
      <c r="C6" s="49">
        <v>1.0</v>
      </c>
      <c r="D6" s="48">
        <f t="shared" si="1"/>
        <v>117.6</v>
      </c>
    </row>
    <row r="7" ht="33.0" customHeight="1">
      <c r="A7" s="44"/>
      <c r="B7" s="44"/>
      <c r="C7" s="44"/>
      <c r="D7" s="45">
        <f>SUM(D2:D6)</f>
        <v>1381.56</v>
      </c>
    </row>
    <row r="8" ht="33.0" customHeight="1">
      <c r="A8" s="51" t="s">
        <v>175</v>
      </c>
    </row>
    <row r="9" ht="33.0" customHeight="1">
      <c r="A9" s="43" t="s">
        <v>80</v>
      </c>
      <c r="B9" s="43" t="s">
        <v>172</v>
      </c>
      <c r="C9" s="43" t="s">
        <v>173</v>
      </c>
      <c r="D9" s="43" t="s">
        <v>174</v>
      </c>
    </row>
    <row r="10" ht="33.0" customHeight="1">
      <c r="A10" s="52" t="s">
        <v>176</v>
      </c>
      <c r="B10" s="53">
        <v>11.7</v>
      </c>
      <c r="C10" s="52">
        <v>19.0</v>
      </c>
      <c r="D10" s="54">
        <f t="shared" ref="D10:D11" si="2">(B10*C10)*12</f>
        <v>2667.6</v>
      </c>
    </row>
    <row r="11" ht="33.0" customHeight="1">
      <c r="A11" s="49" t="s">
        <v>177</v>
      </c>
      <c r="B11" s="55">
        <v>5.6</v>
      </c>
      <c r="C11" s="49">
        <v>3.0</v>
      </c>
      <c r="D11" s="48">
        <f t="shared" si="2"/>
        <v>201.6</v>
      </c>
    </row>
    <row r="12" ht="33.0" customHeight="1">
      <c r="A12" s="56" t="s">
        <v>178</v>
      </c>
      <c r="B12" s="54"/>
      <c r="C12" s="57"/>
      <c r="D12" s="58" t="str">
        <f>"+ " &amp; (D10+D11)-D7</f>
        <v>+ 1487,64</v>
      </c>
    </row>
  </sheetData>
  <mergeCells count="2">
    <mergeCell ref="A1:D1"/>
    <mergeCell ref="A8:D8"/>
  </mergeCells>
  <drawing r:id="rId1"/>
</worksheet>
</file>